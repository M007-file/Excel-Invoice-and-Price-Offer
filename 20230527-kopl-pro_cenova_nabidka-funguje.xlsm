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19" codeName="{5022B3EB-BCE5-7840-4BB8-8062D341818C}"/>
  <workbookPr codeName="ThisWorkbook" defaultThemeVersion="166925"/>
  <mc:AlternateContent xmlns:mc="http://schemas.openxmlformats.org/markup-compatibility/2006">
    <mc:Choice Requires="x15">
      <x15ac:absPath xmlns:x15ac="http://schemas.microsoft.com/office/spreadsheetml/2010/11/ac" url="https://d.docs.live.net/c921e613bb5a70c0/Documents/_OSVČ/Upworks/_Projects/20230506-Price-Quote/"/>
    </mc:Choice>
  </mc:AlternateContent>
  <xr:revisionPtr revIDLastSave="1013" documentId="8_{80C0F48A-E1FA-45BE-A990-65EC259B8F22}" xr6:coauthVersionLast="47" xr6:coauthVersionMax="47" xr10:uidLastSave="{1F2672E8-6E15-4B5A-81B2-D8729FE2AE91}"/>
  <bookViews>
    <workbookView xWindow="-120" yWindow="-120" windowWidth="38640" windowHeight="21120" xr2:uid="{00000000-000D-0000-FFFF-FFFF00000000}"/>
  </bookViews>
  <sheets>
    <sheet name="Offer" sheetId="1" r:id="rId1"/>
    <sheet name="Invoice" sheetId="2" r:id="rId2"/>
    <sheet name="Issued" sheetId="3" r:id="rId3"/>
    <sheet name="Temp" sheetId="4" r:id="rId4"/>
  </sheets>
  <functionGroups builtInGroupCount="19"/>
  <definedNames>
    <definedName name="_xlnm._FilterDatabase" localSheetId="2" hidden="1">Issued!$C$13:$G$79</definedName>
    <definedName name="_xlnm.Print_Area" localSheetId="0">Offer!$A$1:$I$81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8" i="3" l="1"/>
  <c r="D37" i="3"/>
  <c r="D36" i="3"/>
  <c r="D35" i="3"/>
  <c r="D34" i="3"/>
  <c r="D33" i="3" l="1"/>
  <c r="D32" i="3" l="1"/>
  <c r="D31" i="3"/>
  <c r="D30" i="3"/>
  <c r="E21" i="2"/>
  <c r="C2" i="4"/>
  <c r="D29" i="3"/>
  <c r="D28" i="3"/>
  <c r="G3" i="3"/>
  <c r="G2" i="3"/>
  <c r="D27" i="3"/>
  <c r="G7" i="3"/>
  <c r="F7" i="3"/>
  <c r="D26" i="3"/>
  <c r="D25" i="3"/>
  <c r="D24" i="3"/>
  <c r="D23" i="3"/>
  <c r="F58" i="1"/>
  <c r="D22" i="3"/>
  <c r="D21" i="3"/>
  <c r="D20" i="3"/>
  <c r="D19" i="3"/>
  <c r="D18" i="3"/>
  <c r="D17" i="3"/>
  <c r="D16" i="3"/>
  <c r="D15" i="3"/>
  <c r="D14" i="3"/>
  <c r="B2" i="2" s="1" a="1"/>
  <c r="B2" i="2" s="1"/>
  <c r="B9" i="3"/>
  <c r="B5" i="3"/>
  <c r="B5" i="1"/>
  <c r="B5" i="2"/>
  <c r="Q10" i="1"/>
  <c r="E16" i="2"/>
  <c r="C21" i="2"/>
  <c r="C22" i="2"/>
  <c r="C23" i="2"/>
  <c r="C24" i="2"/>
  <c r="C25" i="2"/>
  <c r="C26" i="2"/>
  <c r="C27" i="2"/>
  <c r="C28" i="2"/>
  <c r="C29" i="2"/>
  <c r="C30" i="2"/>
  <c r="C31" i="2"/>
  <c r="C32" i="2"/>
  <c r="C33" i="2"/>
  <c r="C34" i="2"/>
  <c r="C35" i="2"/>
  <c r="C36" i="2"/>
  <c r="C37" i="2"/>
  <c r="C38" i="2"/>
  <c r="C39" i="2"/>
  <c r="C40" i="2"/>
  <c r="C41" i="2"/>
  <c r="C42" i="2"/>
  <c r="C20" i="2"/>
  <c r="G21" i="2"/>
  <c r="G22" i="2"/>
  <c r="G23" i="2"/>
  <c r="G24" i="2"/>
  <c r="G25" i="2"/>
  <c r="G26" i="2"/>
  <c r="G27" i="2"/>
  <c r="G28" i="2"/>
  <c r="G29" i="2"/>
  <c r="G30" i="2"/>
  <c r="G31" i="2"/>
  <c r="G32" i="2"/>
  <c r="G33" i="2"/>
  <c r="G34" i="2"/>
  <c r="G35" i="2"/>
  <c r="G36" i="2"/>
  <c r="G37" i="2"/>
  <c r="G38" i="2"/>
  <c r="G39" i="2"/>
  <c r="G40" i="2"/>
  <c r="G41" i="2"/>
  <c r="G42" i="2"/>
  <c r="G20" i="2"/>
  <c r="E20" i="2"/>
  <c r="F20" i="2"/>
  <c r="F21" i="2"/>
  <c r="E22" i="2"/>
  <c r="F22" i="2"/>
  <c r="E23" i="2"/>
  <c r="F23" i="2"/>
  <c r="E24" i="2"/>
  <c r="F24" i="2"/>
  <c r="E25" i="2"/>
  <c r="F25" i="2"/>
  <c r="E26" i="2"/>
  <c r="F26" i="2"/>
  <c r="E27" i="2"/>
  <c r="F27" i="2"/>
  <c r="E28" i="2"/>
  <c r="F28" i="2"/>
  <c r="E29" i="2"/>
  <c r="F29" i="2"/>
  <c r="E30" i="2"/>
  <c r="F30" i="2"/>
  <c r="E31" i="2"/>
  <c r="F31" i="2"/>
  <c r="E32" i="2"/>
  <c r="F32" i="2"/>
  <c r="E33" i="2"/>
  <c r="F33" i="2"/>
  <c r="E34" i="2"/>
  <c r="F34" i="2"/>
  <c r="E35" i="2"/>
  <c r="F35" i="2"/>
  <c r="E36" i="2"/>
  <c r="F36" i="2"/>
  <c r="E37" i="2"/>
  <c r="F37" i="2"/>
  <c r="E38" i="2"/>
  <c r="F38" i="2"/>
  <c r="E39" i="2"/>
  <c r="F39" i="2"/>
  <c r="E40" i="2"/>
  <c r="F40" i="2"/>
  <c r="E41" i="2"/>
  <c r="F41" i="2"/>
  <c r="E42" i="2"/>
  <c r="F42" i="2"/>
  <c r="D21" i="2"/>
  <c r="D22" i="2"/>
  <c r="D23" i="2"/>
  <c r="D24" i="2"/>
  <c r="D25" i="2"/>
  <c r="D26" i="2"/>
  <c r="D27" i="2"/>
  <c r="D28" i="2"/>
  <c r="D29" i="2"/>
  <c r="D30" i="2"/>
  <c r="D31" i="2"/>
  <c r="D32" i="2"/>
  <c r="D33" i="2"/>
  <c r="D34" i="2"/>
  <c r="D35" i="2"/>
  <c r="D36" i="2"/>
  <c r="D37" i="2"/>
  <c r="D38" i="2"/>
  <c r="D39" i="2"/>
  <c r="D40" i="2"/>
  <c r="D41" i="2"/>
  <c r="D42" i="2"/>
  <c r="D20" i="2"/>
  <c r="F47" i="2"/>
  <c r="F48" i="2"/>
  <c r="F49" i="2"/>
  <c r="F50" i="2"/>
  <c r="F51" i="2"/>
  <c r="F52" i="2"/>
  <c r="E47" i="2"/>
  <c r="E48" i="2"/>
  <c r="E49" i="2"/>
  <c r="E50" i="2"/>
  <c r="E51" i="2"/>
  <c r="E52" i="2"/>
  <c r="D47" i="2"/>
  <c r="D48" i="2"/>
  <c r="D50" i="2"/>
  <c r="D51" i="2"/>
  <c r="D52" i="2"/>
  <c r="D49" i="2"/>
  <c r="C50" i="2"/>
  <c r="C51" i="2"/>
  <c r="C52" i="2"/>
  <c r="C47" i="2"/>
  <c r="C48" i="2"/>
  <c r="C49" i="2"/>
  <c r="G49" i="2"/>
  <c r="G50" i="2"/>
  <c r="G51" i="2"/>
  <c r="G52" i="2"/>
  <c r="G47" i="2"/>
  <c r="G48" i="2"/>
  <c r="C79" i="2"/>
  <c r="C78" i="2"/>
  <c r="C77" i="2"/>
  <c r="E4" i="2"/>
  <c r="B10" i="2"/>
  <c r="B9" i="2"/>
  <c r="B8" i="2"/>
  <c r="B7" i="2"/>
  <c r="B6" i="2"/>
  <c r="B10" i="3"/>
  <c r="B8" i="3"/>
  <c r="B7" i="3"/>
  <c r="B6" i="3"/>
  <c r="D5" i="2"/>
  <c r="L10" i="1" l="1"/>
  <c r="C16" i="1"/>
  <c r="C16" i="2" s="1"/>
  <c r="G24" i="1"/>
  <c r="G29" i="1"/>
  <c r="G35" i="1"/>
  <c r="G36" i="1"/>
  <c r="G37" i="1"/>
  <c r="G38" i="1"/>
  <c r="E16" i="1"/>
  <c r="B9" i="1"/>
  <c r="D5" i="1"/>
  <c r="E4" i="1"/>
  <c r="D9" i="1"/>
  <c r="D9" i="2" s="1"/>
  <c r="B8" i="1"/>
  <c r="G40" i="1"/>
  <c r="G41" i="1"/>
  <c r="G42" i="1"/>
  <c r="B10" i="1"/>
  <c r="B7" i="1"/>
  <c r="B6" i="1"/>
  <c r="D10" i="1"/>
  <c r="D10" i="2" s="1"/>
  <c r="D8" i="1"/>
  <c r="D8" i="2" s="1"/>
  <c r="D7" i="1"/>
  <c r="D7" i="2" s="1"/>
  <c r="D6" i="1"/>
  <c r="D6" i="2" s="1"/>
  <c r="C79" i="1"/>
  <c r="C77" i="1"/>
  <c r="G2" i="1"/>
  <c r="G31" i="1"/>
  <c r="G21" i="1"/>
  <c r="G3" i="1" l="1"/>
  <c r="D16" i="2" s="1"/>
  <c r="G2" i="2"/>
  <c r="C78" i="1"/>
  <c r="G51" i="1"/>
  <c r="G25" i="1"/>
  <c r="G22" i="1"/>
  <c r="G26" i="1"/>
  <c r="G20" i="1"/>
  <c r="G47" i="1"/>
  <c r="G50" i="1"/>
  <c r="G52" i="1"/>
  <c r="G48" i="1"/>
  <c r="G49" i="1"/>
  <c r="G53" i="2" s="1"/>
  <c r="G39" i="1"/>
  <c r="G27" i="1"/>
  <c r="G33" i="1"/>
  <c r="G23" i="1"/>
  <c r="G34" i="1"/>
  <c r="G43" i="2" s="1"/>
  <c r="G30" i="1"/>
  <c r="G28" i="1"/>
  <c r="G32" i="1"/>
  <c r="D16" i="1" l="1"/>
  <c r="G3" i="2"/>
  <c r="G43" i="1"/>
  <c r="G53" i="1"/>
  <c r="G56" i="1" l="1"/>
  <c r="G57" i="1" l="1"/>
  <c r="G58" i="1" s="1"/>
  <c r="G57" i="2"/>
  <c r="F57" i="1" l="1"/>
  <c r="F58" i="2" s="1"/>
  <c r="G58"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<sst xmlns="http://schemas.openxmlformats.org/spreadsheetml/2006/main" count="165" uniqueCount="113">
  <si>
    <t>____________________________</t>
  </si>
  <si>
    <t>670100-2200921129/6210</t>
  </si>
  <si>
    <t>CZ2062106701002200921129</t>
  </si>
  <si>
    <t>Price quote from:</t>
  </si>
  <si>
    <t>Validity date to:</t>
  </si>
  <si>
    <t>Location</t>
  </si>
  <si>
    <t>Date</t>
  </si>
  <si>
    <t>Execution deadline</t>
  </si>
  <si>
    <t>Activity</t>
  </si>
  <si>
    <t>QU</t>
  </si>
  <si>
    <t>Units</t>
  </si>
  <si>
    <t>Price/Unit</t>
  </si>
  <si>
    <t>Price</t>
  </si>
  <si>
    <t>Purposefully incurred costs to be reimbursed</t>
  </si>
  <si>
    <t>Total cost of activities:</t>
  </si>
  <si>
    <t>Total cost of expenses incurred:</t>
  </si>
  <si>
    <t>Content of articles, images to be published, documents to be published.</t>
  </si>
  <si>
    <t>Billing info, Contact details.</t>
  </si>
  <si>
    <t>Pay a deposit - quick QR payment</t>
  </si>
  <si>
    <t>By paying the deposit, you accept to the offer.</t>
  </si>
  <si>
    <t>Total without VAT:</t>
  </si>
  <si>
    <t>The total price, as well as the deposit amount, are rounded to the nearest $.</t>
  </si>
  <si>
    <t>1 year subscription of Webhosting.</t>
  </si>
  <si>
    <t>THAWTE certificate for a single domain</t>
  </si>
  <si>
    <t>IBAN Calculator</t>
  </si>
  <si>
    <t>1) Project Name</t>
  </si>
  <si>
    <t>2) The customer</t>
  </si>
  <si>
    <t>Valid until (today + 30 days) - calculated automatically</t>
  </si>
  <si>
    <t>Notes - change only the described values in the green cells:</t>
  </si>
  <si>
    <t>4) The length of the completion date - the number of working days - will change automatically in the price offer</t>
  </si>
  <si>
    <t>PRICE OFFER</t>
  </si>
  <si>
    <t>5) Add activities</t>
  </si>
  <si>
    <t>If there is no value in columns C,D,E,F, there is nothing in column G with price.</t>
  </si>
  <si>
    <t>The price is calculated according to the entered Units and Price per Quantitative Unit.</t>
  </si>
  <si>
    <t>6) Edit only the Activity, QU, Units and Price/QU, in the Price column there is a formula - it will be calculated by itself</t>
  </si>
  <si>
    <t>7) Before printing, it is probably better to sort all the items alphabetically (along with the selected Quantitative Units, Prices and Number of Units)</t>
  </si>
  <si>
    <t>The total price for the Activity is calculated by itself</t>
  </si>
  <si>
    <t>The resulting PDF saved in the C:\_DEV folder (must exist otherwise an error will appear). The path can be changed in the PrintSelectionToPDF macro. After the script finishes running, the PDF will open itself in the associated application.</t>
  </si>
  <si>
    <t>8) Adjust the purposefully incurred costs as well</t>
  </si>
  <si>
    <t>9) Edit only the Activity, QU, Units and Price/QU, in the Price column there is a formula - it will be calculated by itself</t>
  </si>
  <si>
    <t>10) Before printing, it is probably better to sort all the items alphabetically (along with the selected Quantitative Units, Prices and Number of Units)</t>
  </si>
  <si>
    <t>The total price for the incurred costs is also calculated by itself</t>
  </si>
  <si>
    <t>Automatically calculated total amount from Activities and Costs without VAT</t>
  </si>
  <si>
    <t>11) The amount of tax used for the calculation of the Total price including VAT</t>
  </si>
  <si>
    <t>Aside of this cell (one row above and one column to the left) the area selected by the macro for printing the offer to PDF (A4 format).</t>
  </si>
  <si>
    <t>Everything outside the area (A1:I81) will not be visible in the PDF file. The macro creates a PDF file from the current values.</t>
  </si>
  <si>
    <t>Peter Gingerbread</t>
  </si>
  <si>
    <t>Siemens road 2240/19</t>
  </si>
  <si>
    <t>Prague 5 - Stodulky, Czech Republic</t>
  </si>
  <si>
    <t>peter.gingerbread@yahoo.com</t>
  </si>
  <si>
    <t>Gingerbread 2023</t>
  </si>
  <si>
    <t>an account</t>
  </si>
  <si>
    <t>a page</t>
  </si>
  <si>
    <t>a DB</t>
  </si>
  <si>
    <t>an e-mail</t>
  </si>
  <si>
    <t>a web</t>
  </si>
  <si>
    <t>a CMS</t>
  </si>
  <si>
    <t>a .htaccess</t>
  </si>
  <si>
    <t>a record</t>
  </si>
  <si>
    <t>a GMB</t>
  </si>
  <si>
    <t>a form</t>
  </si>
  <si>
    <t>a header</t>
  </si>
  <si>
    <t>a language</t>
  </si>
  <si>
    <t>a picture</t>
  </si>
  <si>
    <t>a registration</t>
  </si>
  <si>
    <t>a webhosting</t>
  </si>
  <si>
    <t>a certificate</t>
  </si>
  <si>
    <t>404 page for incorrect links/URLs (return page)</t>
  </si>
  <si>
    <t>KeePass password database (*.kdbx) + encryption key to access it</t>
  </si>
  <si>
    <t>Emails + settings on clients + email signature (branding) + GMB banner</t>
  </si>
  <si>
    <t>Google Analytics - settings in the template and the access</t>
  </si>
  <si>
    <t>Installation of the editorial system - CMS + access</t>
  </si>
  <si>
    <t>.htaccess configuration + redirect to https protocol + Let's Encrypt</t>
  </si>
  <si>
    <t>MySQL database configuration - for use in CMS</t>
  </si>
  <si>
    <t>Configuration of DNS records (A, AAAA, CNAME, MX, TXT)</t>
  </si>
  <si>
    <t>Configuration of GMB (Google My Business), categories, services</t>
  </si>
  <si>
    <t>Contact form on the website (by e-mail) / Reservation form (by e-mail)</t>
  </si>
  <si>
    <t>Recaptcha site and private key configuration</t>
  </si>
  <si>
    <t>a template</t>
  </si>
  <si>
    <t>Meta Description and Title on the website - every article all languages</t>
  </si>
  <si>
    <t>Captioning photos in Unite gallery @ 10 photos for each language separately</t>
  </si>
  <si>
    <t>Image optimization - file size and image dimensions</t>
  </si>
  <si>
    <t>Registration in foreign catalogs - backlinks @ 100</t>
  </si>
  <si>
    <t>Registration at domain registrator for purchase and renewal of domains</t>
  </si>
  <si>
    <t>Quick invoice QR payment</t>
  </si>
  <si>
    <t>The total price is rounded to the nearest $.</t>
  </si>
  <si>
    <t>ISSUED INVOICES</t>
  </si>
  <si>
    <t>First invoice at:</t>
  </si>
  <si>
    <t>Last invoice at:</t>
  </si>
  <si>
    <t>Customer</t>
  </si>
  <si>
    <t>John Doe</t>
  </si>
  <si>
    <t>Doe Road 1234/16</t>
  </si>
  <si>
    <t>john.doe@does-incorporated.com</t>
  </si>
  <si>
    <t>https://www.johndoe.com</t>
  </si>
  <si>
    <t>San Francisco - Inner city, CA, 902 10</t>
  </si>
  <si>
    <t>3) The supplier</t>
  </si>
  <si>
    <t>Invoice ID</t>
  </si>
  <si>
    <t>Amount (+VAT)</t>
  </si>
  <si>
    <t>Amount (wo. VAT)</t>
  </si>
  <si>
    <t>Invoice date</t>
  </si>
  <si>
    <t>1 year subscription of domain name at registrator</t>
  </si>
  <si>
    <t>domain</t>
  </si>
  <si>
    <t>Subtotal</t>
  </si>
  <si>
    <t>Total</t>
  </si>
  <si>
    <t>Milos Zeman</t>
  </si>
  <si>
    <t>Input</t>
  </si>
  <si>
    <t>Value</t>
  </si>
  <si>
    <t>percentage</t>
  </si>
  <si>
    <t>used in macro to increase and revert the height of the QR code</t>
  </si>
  <si>
    <t>Sheet password 1234</t>
  </si>
  <si>
    <t>12) The deposit percentage used to calculate its amount (incl. VAT)</t>
  </si>
  <si>
    <t>13) Select the background color of the cell, to use it as foreground of QR code</t>
  </si>
  <si>
    <t>Mandatory documents + assets: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</si>
</sst>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quot;. &quot;m&quot;. &quot;yy"/>
    <numFmt numFmtId="165" formatCode="0.0"/>
    <numFmt numFmtId="166" formatCode="#,##0.00\ &quot;Kč&quot;"/>
    <numFmt numFmtId="167" formatCode="[$-405]d\.\ mmmm\ yyyy;@"/>
    <numFmt numFmtId="168" formatCode="d&quot;. &quot;m&quot;. &quot;yyyy"/>
    <numFmt numFmtId="169" formatCode="[$$-409]#,##0.00"/>
  </numFmts>
  <fonts count="29" x14ac:knownFonts="1">
    <font>
      <sz val="11"/>
      <color indexed="8"/>
      <name val="Calibri"/>
      <family val="2"/>
      <charset val="238"/>
    </font>
    <font>
      <u/>
      <sz val="11"/>
      <color rgb="FF0000FF"/>
      <name val="Calibri"/>
      <family val="2"/>
      <charset val="238"/>
    </font>
    <font>
      <b/>
      <i/>
      <sz val="16"/>
      <color rgb="FF000000"/>
      <name val="Calibri"/>
      <family val="2"/>
      <charset val="238"/>
    </font>
    <font>
      <u/>
      <sz val="11"/>
      <color theme="10"/>
      <name val="Calibri"/>
      <family val="2"/>
      <charset val="238"/>
    </font>
    <font>
      <u/>
      <sz val="12.6"/>
      <color rgb="FF0000FF"/>
      <name val="Calibri"/>
      <family val="2"/>
      <charset val="238"/>
    </font>
    <font>
      <b/>
      <i/>
      <u/>
      <sz val="11"/>
      <color rgb="FF000000"/>
      <name val="Calibri"/>
      <family val="2"/>
      <charset val="238"/>
    </font>
    <font>
      <b/>
      <sz val="11"/>
      <color rgb="FF000000"/>
      <name val="Arial"/>
      <family val="2"/>
      <charset val="238"/>
    </font>
    <font>
      <sz val="11"/>
      <color indexed="8"/>
      <name val="Arial"/>
      <family val="2"/>
      <charset val="238"/>
    </font>
    <font>
      <b/>
      <sz val="11"/>
      <color indexed="8"/>
      <name val="Arial"/>
      <family val="2"/>
      <charset val="238"/>
    </font>
    <font>
      <u/>
      <sz val="11"/>
      <color theme="10"/>
      <name val="Arial"/>
      <family val="2"/>
      <charset val="238"/>
    </font>
    <font>
      <b/>
      <sz val="26"/>
      <color rgb="FF000000"/>
      <name val="Arial"/>
      <family val="2"/>
      <charset val="238"/>
    </font>
    <font>
      <b/>
      <sz val="10"/>
      <color indexed="8"/>
      <name val="Arial"/>
      <family val="2"/>
      <charset val="238"/>
    </font>
    <font>
      <b/>
      <sz val="14"/>
      <color rgb="FFFF0000"/>
      <name val="Arial"/>
      <family val="2"/>
    </font>
    <font>
      <b/>
      <u/>
      <sz val="11"/>
      <color indexed="8"/>
      <name val="Arial"/>
      <family val="2"/>
    </font>
    <font>
      <b/>
      <u/>
      <sz val="11"/>
      <color rgb="FF000000"/>
      <name val="Arial"/>
      <family val="2"/>
    </font>
    <font>
      <b/>
      <sz val="16"/>
      <color indexed="8"/>
      <name val="Arial"/>
      <family val="2"/>
      <charset val="238"/>
    </font>
    <font>
      <sz val="11"/>
      <name val="Arial"/>
      <family val="2"/>
      <charset val="238"/>
    </font>
    <font>
      <sz val="11"/>
      <name val="Calibri"/>
      <family val="2"/>
      <charset val="238"/>
    </font>
    <font>
      <sz val="11"/>
      <color rgb="FF006100"/>
      <name val="Calibri"/>
      <family val="2"/>
      <scheme val="minor"/>
    </font>
    <font>
      <b/>
      <u/>
      <sz val="11"/>
      <color indexed="8"/>
      <name val="Arial"/>
      <family val="2"/>
      <charset val="238"/>
    </font>
    <font>
      <b/>
      <sz val="14"/>
      <color rgb="FFFF0000"/>
      <name val="Calibri"/>
      <family val="2"/>
      <charset val="238"/>
    </font>
    <font>
      <sz val="11"/>
      <name val="Arial"/>
      <family val="2"/>
    </font>
    <font>
      <b/>
      <sz val="11"/>
      <name val="Arial"/>
      <family val="2"/>
    </font>
    <font>
      <b/>
      <u/>
      <sz val="11"/>
      <name val="Arial"/>
      <family val="2"/>
    </font>
    <font>
      <sz val="11"/>
      <color indexed="8"/>
      <name val="Calibri"/>
      <family val="2"/>
      <scheme val="minor"/>
    </font>
    <font>
      <sz val="11"/>
      <color rgb="FF000000"/>
      <name val="Calibri"/>
      <family val="2"/>
      <scheme val="minor"/>
    </font>
    <font>
      <sz val="11"/>
      <name val="Calibri"/>
      <family val="2"/>
      <scheme val="minor"/>
    </font>
    <font>
      <u/>
      <sz val="11"/>
      <color theme="10"/>
      <name val="Calibri"/>
      <family val="2"/>
      <scheme val="minor"/>
    </font>
    <font>
      <u/>
      <sz val="11"/>
      <color indexed="8"/>
      <name val="Arial"/>
      <family val="2"/>
      <charset val="238"/>
    </font>
  </fonts>
  <fills count="7">
    <fill>
      <patternFill patternType="none"/>
    </fill>
    <fill>
      <patternFill patternType="gray125"/>
    </fill>
    <fill>
      <patternFill patternType="solid">
        <fgColor theme="8" tint="0.79998168889431442"/>
        <bgColor indexed="64"/>
      </patternFill>
    </fill>
    <fill>
      <patternFill patternType="solid">
        <fgColor rgb="FFC6EFCE"/>
      </patternFill>
    </fill>
    <fill>
      <patternFill patternType="solid">
        <fgColor theme="9" tint="0.59999389629810485"/>
        <bgColor indexed="64"/>
      </patternFill>
    </fill>
    <fill>
      <patternFill patternType="solid">
        <fgColor theme="8" tint="0.39997558519241921"/>
        <bgColor indexed="64"/>
      </patternFill>
    </fill>
    <fill>
      <patternFill patternType="solid">
        <fgColor theme="9" tint="-0.249977111117893"/>
        <bgColor indexed="64"/>
      </patternFill>
    </fill>
  </fills>
  <borders count="20">
    <border>
      <left/>
      <right/>
      <top/>
      <bottom/>
      <diagonal/>
    </border>
    <border>
      <left/>
      <right/>
      <top/>
      <bottom style="thick">
        <color indexed="64"/>
      </bottom>
      <diagonal/>
    </border>
    <border>
      <left/>
      <right style="thick">
        <color indexed="64"/>
      </right>
      <top/>
      <bottom/>
      <diagonal/>
    </border>
    <border>
      <left/>
      <right style="thick">
        <color indexed="64"/>
      </right>
      <top/>
      <bottom style="thick">
        <color indexed="64"/>
      </bottom>
      <diagonal/>
    </border>
    <border>
      <left style="thick">
        <color indexed="64"/>
      </left>
      <right/>
      <top style="thick">
        <color indexed="64"/>
      </top>
      <bottom/>
      <diagonal/>
    </border>
    <border>
      <left/>
      <right style="thick">
        <color indexed="64"/>
      </right>
      <top style="thick">
        <color indexed="64"/>
      </top>
      <bottom/>
      <diagonal/>
    </border>
    <border>
      <left/>
      <right/>
      <top style="thick">
        <color indexed="64"/>
      </top>
      <bottom/>
      <diagonal/>
    </border>
    <border>
      <left style="thick">
        <color indexed="64"/>
      </left>
      <right/>
      <top/>
      <bottom/>
      <diagonal/>
    </border>
    <border>
      <left style="thick">
        <color indexed="64"/>
      </left>
      <right/>
      <top/>
      <bottom style="thick">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style="thick">
        <color theme="2"/>
      </right>
      <top style="thick">
        <color indexed="64"/>
      </top>
      <bottom/>
      <diagonal/>
    </border>
    <border>
      <left style="thick">
        <color indexed="64"/>
      </left>
      <right style="thick">
        <color theme="2"/>
      </right>
      <top/>
      <bottom/>
      <diagonal/>
    </border>
    <border>
      <left style="thick">
        <color indexed="64"/>
      </left>
      <right style="thick">
        <color theme="2"/>
      </right>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bottom style="thick">
        <color indexed="64"/>
      </bottom>
      <diagonal/>
    </border>
  </borders>
  <cellStyleXfs count="9">
    <xf numFmtId="0" fontId="0" fillId="0" borderId="0"/>
    <xf numFmtId="0" fontId="1" fillId="0" borderId="0"/>
    <xf numFmtId="0" fontId="2" fillId="0" borderId="0">
      <alignment horizontal="center"/>
    </xf>
    <xf numFmtId="0" fontId="2" fillId="0" borderId="0">
      <alignment horizontal="center" textRotation="90"/>
    </xf>
    <xf numFmtId="0" fontId="3" fillId="0" borderId="0" applyNumberFormat="0" applyFill="0" applyBorder="0" applyAlignment="0" applyProtection="0"/>
    <xf numFmtId="0" fontId="4" fillId="0" borderId="0"/>
    <xf numFmtId="0" fontId="5" fillId="0" borderId="0"/>
    <xf numFmtId="0" fontId="5" fillId="0" borderId="0"/>
    <xf numFmtId="0" fontId="18" fillId="3" borderId="0" applyNumberFormat="0" applyBorder="0" applyAlignment="0" applyProtection="0"/>
  </cellStyleXfs>
  <cellXfs count="194">
    <xf numFmtId="0" fontId="0" fillId="0" borderId="0" xfId="0"/>
    <xf numFmtId="0" fontId="7" fillId="2" borderId="0" xfId="0" applyFont="1" applyFill="1" applyAlignment="1">
      <alignment vertical="center"/>
    </xf>
    <xf numFmtId="0" fontId="7" fillId="2" borderId="2" xfId="0" applyFont="1" applyFill="1" applyBorder="1" applyAlignment="1">
      <alignment vertical="center"/>
    </xf>
    <xf numFmtId="1" fontId="7" fillId="2" borderId="0" xfId="0" applyNumberFormat="1" applyFont="1" applyFill="1" applyAlignment="1">
      <alignment vertical="center"/>
    </xf>
    <xf numFmtId="0" fontId="0" fillId="2" borderId="0" xfId="0" applyFill="1"/>
    <xf numFmtId="167" fontId="7" fillId="2" borderId="0" xfId="0" applyNumberFormat="1" applyFont="1" applyFill="1" applyAlignment="1">
      <alignment vertical="center"/>
    </xf>
    <xf numFmtId="165" fontId="7" fillId="2" borderId="0" xfId="0" applyNumberFormat="1" applyFont="1" applyFill="1" applyAlignment="1">
      <alignment vertical="center"/>
    </xf>
    <xf numFmtId="3" fontId="7" fillId="2" borderId="0" xfId="1" applyNumberFormat="1" applyFont="1" applyFill="1" applyAlignment="1">
      <alignment horizontal="left" vertical="center"/>
    </xf>
    <xf numFmtId="166" fontId="7" fillId="2" borderId="0" xfId="0" applyNumberFormat="1" applyFont="1" applyFill="1" applyAlignment="1">
      <alignment vertical="center"/>
    </xf>
    <xf numFmtId="0" fontId="3" fillId="0" borderId="0" xfId="4" applyFill="1" applyBorder="1" applyAlignment="1">
      <alignment horizontal="center" vertical="center"/>
    </xf>
    <xf numFmtId="0" fontId="7" fillId="2" borderId="0" xfId="0" quotePrefix="1" applyFont="1" applyFill="1" applyAlignment="1">
      <alignment vertical="center"/>
    </xf>
    <xf numFmtId="0" fontId="13" fillId="2" borderId="0" xfId="0" applyFont="1" applyFill="1" applyAlignment="1">
      <alignment vertical="center"/>
    </xf>
    <xf numFmtId="0" fontId="14" fillId="2" borderId="0" xfId="0" applyFont="1" applyFill="1" applyAlignment="1">
      <alignment vertical="center"/>
    </xf>
    <xf numFmtId="0" fontId="15" fillId="2" borderId="0" xfId="0" applyFont="1" applyFill="1" applyAlignment="1">
      <alignment vertical="center"/>
    </xf>
    <xf numFmtId="0" fontId="16" fillId="2" borderId="0" xfId="0" applyFont="1" applyFill="1" applyAlignment="1">
      <alignment vertical="center"/>
    </xf>
    <xf numFmtId="0" fontId="17" fillId="2" borderId="0" xfId="0" applyFont="1" applyFill="1"/>
    <xf numFmtId="0" fontId="16" fillId="2" borderId="1" xfId="0" applyFont="1" applyFill="1" applyBorder="1" applyAlignment="1">
      <alignment vertical="center"/>
    </xf>
    <xf numFmtId="168" fontId="7" fillId="2" borderId="0" xfId="0" applyNumberFormat="1" applyFont="1" applyFill="1" applyAlignment="1">
      <alignment vertical="center"/>
    </xf>
    <xf numFmtId="0" fontId="19" fillId="2" borderId="0" xfId="0" applyFont="1" applyFill="1" applyAlignment="1">
      <alignment vertical="center"/>
    </xf>
    <xf numFmtId="0" fontId="3" fillId="2" borderId="0" xfId="4" applyFill="1" applyBorder="1" applyAlignment="1">
      <alignment vertical="center"/>
    </xf>
    <xf numFmtId="0" fontId="9" fillId="0" borderId="3" xfId="4" applyFont="1" applyFill="1" applyBorder="1" applyAlignment="1">
      <alignment vertical="center"/>
    </xf>
    <xf numFmtId="0" fontId="7" fillId="0" borderId="0" xfId="0" applyFont="1" applyAlignment="1">
      <alignment vertical="center"/>
    </xf>
    <xf numFmtId="168" fontId="7" fillId="0" borderId="6" xfId="0" applyNumberFormat="1" applyFont="1" applyBorder="1" applyAlignment="1">
      <alignment horizontal="left" vertical="center"/>
    </xf>
    <xf numFmtId="0" fontId="7" fillId="0" borderId="5" xfId="0" applyFont="1" applyBorder="1" applyAlignment="1">
      <alignment vertical="center"/>
    </xf>
    <xf numFmtId="0" fontId="8" fillId="0" borderId="0" xfId="0" applyFont="1" applyAlignment="1">
      <alignment horizontal="right" vertical="center"/>
    </xf>
    <xf numFmtId="168" fontId="7" fillId="0" borderId="0" xfId="0" applyNumberFormat="1" applyFont="1" applyAlignment="1">
      <alignment horizontal="left" vertical="center"/>
    </xf>
    <xf numFmtId="0" fontId="7" fillId="0" borderId="2" xfId="0" applyFont="1" applyBorder="1" applyAlignment="1">
      <alignment vertical="center"/>
    </xf>
    <xf numFmtId="0" fontId="7" fillId="0" borderId="3" xfId="0" applyFont="1" applyBorder="1" applyAlignment="1">
      <alignment vertical="center"/>
    </xf>
    <xf numFmtId="0" fontId="7" fillId="0" borderId="7" xfId="0" applyFont="1" applyBorder="1" applyAlignment="1">
      <alignment vertical="center"/>
    </xf>
    <xf numFmtId="165" fontId="7" fillId="0" borderId="0" xfId="0" applyNumberFormat="1" applyFont="1" applyAlignment="1">
      <alignment vertical="center"/>
    </xf>
    <xf numFmtId="3" fontId="7" fillId="0" borderId="0" xfId="1" applyNumberFormat="1" applyFont="1" applyAlignment="1">
      <alignment horizontal="left" vertical="center"/>
    </xf>
    <xf numFmtId="0" fontId="7" fillId="0" borderId="8" xfId="0" applyFont="1" applyBorder="1" applyAlignment="1">
      <alignment vertical="center"/>
    </xf>
    <xf numFmtId="1" fontId="7" fillId="0" borderId="0" xfId="0" applyNumberFormat="1" applyFont="1" applyAlignment="1">
      <alignment vertical="center"/>
    </xf>
    <xf numFmtId="0" fontId="7" fillId="0" borderId="4" xfId="0" applyFont="1" applyBorder="1" applyAlignment="1">
      <alignment vertical="center"/>
    </xf>
    <xf numFmtId="0" fontId="7" fillId="0" borderId="6" xfId="0" applyFont="1" applyBorder="1" applyAlignment="1">
      <alignment vertical="center"/>
    </xf>
    <xf numFmtId="3" fontId="7" fillId="0" borderId="6" xfId="1" applyNumberFormat="1" applyFont="1" applyBorder="1" applyAlignment="1">
      <alignment horizontal="left" vertical="center"/>
    </xf>
    <xf numFmtId="1" fontId="7" fillId="0" borderId="6" xfId="0" applyNumberFormat="1" applyFont="1" applyBorder="1" applyAlignment="1">
      <alignment vertical="center"/>
    </xf>
    <xf numFmtId="0" fontId="7" fillId="0" borderId="0" xfId="1" applyFont="1" applyAlignment="1">
      <alignment horizontal="left" vertical="center"/>
    </xf>
    <xf numFmtId="0" fontId="8" fillId="0" borderId="0" xfId="0" applyFont="1" applyAlignment="1">
      <alignment vertical="center"/>
    </xf>
    <xf numFmtId="0" fontId="8" fillId="0" borderId="0" xfId="0" applyFont="1" applyAlignment="1">
      <alignment horizontal="center" vertical="center"/>
    </xf>
    <xf numFmtId="165" fontId="8" fillId="0" borderId="0" xfId="0" applyNumberFormat="1" applyFont="1" applyAlignment="1">
      <alignment horizontal="center" vertical="center"/>
    </xf>
    <xf numFmtId="165" fontId="8" fillId="0" borderId="0" xfId="0" applyNumberFormat="1" applyFont="1" applyAlignment="1">
      <alignment horizontal="left" vertical="center"/>
    </xf>
    <xf numFmtId="168" fontId="7" fillId="0" borderId="0" xfId="0" applyNumberFormat="1" applyFont="1" applyAlignment="1">
      <alignment horizontal="center" vertical="center"/>
    </xf>
    <xf numFmtId="165" fontId="7" fillId="0" borderId="0" xfId="0" applyNumberFormat="1" applyFont="1" applyAlignment="1">
      <alignment horizontal="center" vertical="center"/>
    </xf>
    <xf numFmtId="165" fontId="7" fillId="0" borderId="0" xfId="0" applyNumberFormat="1" applyFont="1" applyAlignment="1">
      <alignment horizontal="left" vertical="center"/>
    </xf>
    <xf numFmtId="164" fontId="7" fillId="0" borderId="0" xfId="0" applyNumberFormat="1" applyFont="1" applyAlignment="1">
      <alignment horizontal="left" vertical="center"/>
    </xf>
    <xf numFmtId="165" fontId="8" fillId="0" borderId="0" xfId="0" applyNumberFormat="1" applyFont="1" applyAlignment="1">
      <alignment vertical="center"/>
    </xf>
    <xf numFmtId="0" fontId="7" fillId="0" borderId="0" xfId="0" applyFont="1" applyAlignment="1">
      <alignment horizontal="center" vertical="center"/>
    </xf>
    <xf numFmtId="1" fontId="7" fillId="0" borderId="0" xfId="0" applyNumberFormat="1" applyFont="1" applyAlignment="1">
      <alignment horizontal="center" vertical="center"/>
    </xf>
    <xf numFmtId="1" fontId="7" fillId="0" borderId="2" xfId="0" applyNumberFormat="1" applyFont="1" applyBorder="1" applyAlignment="1">
      <alignment vertical="center"/>
    </xf>
    <xf numFmtId="1" fontId="8" fillId="0" borderId="2" xfId="0" applyNumberFormat="1" applyFont="1" applyBorder="1" applyAlignment="1">
      <alignment vertical="center"/>
    </xf>
    <xf numFmtId="0" fontId="6" fillId="0" borderId="0" xfId="0" applyFont="1" applyAlignment="1">
      <alignment horizontal="right" vertical="center"/>
    </xf>
    <xf numFmtId="166" fontId="8" fillId="0" borderId="0" xfId="0" applyNumberFormat="1" applyFont="1" applyAlignment="1">
      <alignment horizontal="right" vertical="center"/>
    </xf>
    <xf numFmtId="1" fontId="8" fillId="0" borderId="0" xfId="0" applyNumberFormat="1" applyFont="1" applyAlignment="1">
      <alignment horizontal="right" vertical="center"/>
    </xf>
    <xf numFmtId="1" fontId="8" fillId="0" borderId="0" xfId="0" applyNumberFormat="1" applyFont="1" applyAlignment="1">
      <alignment vertical="center"/>
    </xf>
    <xf numFmtId="2" fontId="8" fillId="0" borderId="0" xfId="0" applyNumberFormat="1" applyFont="1" applyAlignment="1">
      <alignment vertical="center"/>
    </xf>
    <xf numFmtId="0" fontId="0" fillId="0" borderId="0" xfId="0" applyAlignment="1">
      <alignment horizontal="center"/>
    </xf>
    <xf numFmtId="3" fontId="7" fillId="0" borderId="0" xfId="0" applyNumberFormat="1" applyFont="1" applyAlignment="1">
      <alignment vertical="center"/>
    </xf>
    <xf numFmtId="166" fontId="8" fillId="0" borderId="0" xfId="0" applyNumberFormat="1" applyFont="1" applyAlignment="1">
      <alignment vertical="center"/>
    </xf>
    <xf numFmtId="0" fontId="8" fillId="0" borderId="2" xfId="0" applyFont="1" applyBorder="1" applyAlignment="1">
      <alignment vertical="center"/>
    </xf>
    <xf numFmtId="166" fontId="7" fillId="0" borderId="0" xfId="0" applyNumberFormat="1" applyFont="1" applyAlignment="1">
      <alignment vertical="center"/>
    </xf>
    <xf numFmtId="0" fontId="7" fillId="0" borderId="0" xfId="0" quotePrefix="1" applyFont="1" applyAlignment="1">
      <alignment horizontal="center" vertical="center"/>
    </xf>
    <xf numFmtId="0" fontId="7" fillId="0" borderId="1" xfId="0" applyFont="1" applyBorder="1" applyAlignment="1">
      <alignment vertical="center"/>
    </xf>
    <xf numFmtId="165" fontId="7" fillId="0" borderId="1" xfId="0" applyNumberFormat="1" applyFont="1" applyBorder="1" applyAlignment="1">
      <alignment vertical="center"/>
    </xf>
    <xf numFmtId="1" fontId="7" fillId="0" borderId="1" xfId="0" applyNumberFormat="1" applyFont="1" applyBorder="1" applyAlignment="1">
      <alignment vertical="center"/>
    </xf>
    <xf numFmtId="0" fontId="21" fillId="2" borderId="0" xfId="0" applyFont="1" applyFill="1" applyAlignment="1">
      <alignment vertical="center"/>
    </xf>
    <xf numFmtId="0" fontId="22" fillId="2" borderId="0" xfId="0" applyFont="1" applyFill="1" applyAlignment="1">
      <alignment vertical="center" wrapText="1"/>
    </xf>
    <xf numFmtId="2" fontId="21" fillId="2" borderId="0" xfId="0" applyNumberFormat="1" applyFont="1" applyFill="1" applyAlignment="1">
      <alignment vertical="center"/>
    </xf>
    <xf numFmtId="0" fontId="23" fillId="2" borderId="0" xfId="0" applyFont="1" applyFill="1" applyAlignment="1">
      <alignment vertical="center"/>
    </xf>
    <xf numFmtId="0" fontId="3" fillId="2" borderId="0" xfId="4" applyFill="1" applyAlignment="1">
      <alignment vertical="center"/>
    </xf>
    <xf numFmtId="0" fontId="11" fillId="0" borderId="6" xfId="0" applyFont="1" applyBorder="1" applyAlignment="1">
      <alignment horizontal="right" vertical="center"/>
    </xf>
    <xf numFmtId="0" fontId="11" fillId="0" borderId="0" xfId="0" applyFont="1" applyAlignment="1">
      <alignment horizontal="right" vertical="center"/>
    </xf>
    <xf numFmtId="0" fontId="11" fillId="0" borderId="1" xfId="0" applyFont="1" applyBorder="1" applyAlignment="1">
      <alignment horizontal="right" vertical="center"/>
    </xf>
    <xf numFmtId="169" fontId="16" fillId="0" borderId="0" xfId="0" applyNumberFormat="1" applyFont="1" applyAlignment="1">
      <alignment horizontal="right" vertical="center"/>
    </xf>
    <xf numFmtId="169" fontId="7" fillId="2" borderId="0" xfId="0" applyNumberFormat="1" applyFont="1" applyFill="1" applyAlignment="1">
      <alignment vertical="center"/>
    </xf>
    <xf numFmtId="0" fontId="8" fillId="0" borderId="6" xfId="0" applyFont="1" applyBorder="1"/>
    <xf numFmtId="169" fontId="7" fillId="0" borderId="0" xfId="0" applyNumberFormat="1" applyFont="1" applyAlignment="1">
      <alignment horizontal="center" vertical="center"/>
    </xf>
    <xf numFmtId="0" fontId="7" fillId="0" borderId="0" xfId="0" applyFont="1" applyAlignment="1">
      <alignment horizontal="left" vertical="center"/>
    </xf>
    <xf numFmtId="169" fontId="16" fillId="0" borderId="0" xfId="0" applyNumberFormat="1" applyFont="1" applyAlignment="1">
      <alignment vertical="center"/>
    </xf>
    <xf numFmtId="0" fontId="18" fillId="2" borderId="0" xfId="8" applyFill="1" applyBorder="1" applyAlignment="1">
      <alignment horizontal="center" vertical="center"/>
    </xf>
    <xf numFmtId="10" fontId="18" fillId="2" borderId="0" xfId="8" applyNumberFormat="1" applyFill="1" applyBorder="1" applyAlignment="1">
      <alignment horizontal="center" vertical="center"/>
    </xf>
    <xf numFmtId="0" fontId="9" fillId="0" borderId="1" xfId="4" applyFont="1" applyFill="1" applyBorder="1" applyAlignment="1">
      <alignment vertical="center"/>
    </xf>
    <xf numFmtId="0" fontId="12" fillId="2" borderId="0" xfId="0" applyFont="1" applyFill="1" applyAlignment="1">
      <alignment vertical="center" wrapText="1"/>
    </xf>
    <xf numFmtId="0" fontId="8" fillId="0" borderId="12" xfId="0" applyFont="1" applyBorder="1" applyAlignment="1">
      <alignment horizontal="right" vertical="center"/>
    </xf>
    <xf numFmtId="0" fontId="8" fillId="0" borderId="14" xfId="0" applyFont="1" applyBorder="1" applyAlignment="1">
      <alignment horizontal="right" vertical="center"/>
    </xf>
    <xf numFmtId="0" fontId="0" fillId="0" borderId="2" xfId="0" applyBorder="1" applyAlignment="1">
      <alignment vertical="center"/>
    </xf>
    <xf numFmtId="0" fontId="0" fillId="0" borderId="0" xfId="0" applyAlignment="1">
      <alignment vertical="center"/>
    </xf>
    <xf numFmtId="0" fontId="17" fillId="2" borderId="0" xfId="0" applyFont="1" applyFill="1" applyAlignment="1">
      <alignment vertical="center"/>
    </xf>
    <xf numFmtId="0" fontId="0" fillId="2" borderId="0" xfId="0" applyFill="1" applyAlignment="1">
      <alignment vertical="center"/>
    </xf>
    <xf numFmtId="166" fontId="0" fillId="0" borderId="0" xfId="0" applyNumberFormat="1" applyAlignment="1">
      <alignment vertical="center"/>
    </xf>
    <xf numFmtId="0" fontId="0" fillId="0" borderId="0" xfId="0" applyAlignment="1">
      <alignment horizontal="center" vertical="center"/>
    </xf>
    <xf numFmtId="0" fontId="8" fillId="0" borderId="13" xfId="0" applyFont="1" applyBorder="1" applyAlignment="1">
      <alignment horizontal="right" vertical="center"/>
    </xf>
    <xf numFmtId="169" fontId="0" fillId="0" borderId="11" xfId="0" applyNumberFormat="1" applyBorder="1" applyAlignment="1">
      <alignment horizontal="center" vertical="center"/>
    </xf>
    <xf numFmtId="169" fontId="7" fillId="0" borderId="11" xfId="0" applyNumberFormat="1" applyFont="1" applyBorder="1" applyAlignment="1">
      <alignment horizontal="center" vertical="center"/>
    </xf>
    <xf numFmtId="169" fontId="16" fillId="0" borderId="5" xfId="0" applyNumberFormat="1" applyFont="1" applyBorder="1" applyAlignment="1">
      <alignment horizontal="center" vertical="center"/>
    </xf>
    <xf numFmtId="169" fontId="16" fillId="0" borderId="2" xfId="0" applyNumberFormat="1" applyFont="1" applyBorder="1" applyAlignment="1">
      <alignment horizontal="center" vertical="center"/>
    </xf>
    <xf numFmtId="169" fontId="16" fillId="0" borderId="3" xfId="0" applyNumberFormat="1" applyFont="1" applyBorder="1" applyAlignment="1">
      <alignment horizontal="center" vertical="center"/>
    </xf>
    <xf numFmtId="0" fontId="24" fillId="0" borderId="7" xfId="0" applyFont="1" applyBorder="1" applyAlignment="1">
      <alignment vertical="center"/>
    </xf>
    <xf numFmtId="0" fontId="24" fillId="0" borderId="0" xfId="0" applyFont="1" applyAlignment="1">
      <alignment vertical="center"/>
    </xf>
    <xf numFmtId="3" fontId="24" fillId="0" borderId="0" xfId="1" applyNumberFormat="1" applyFont="1" applyAlignment="1">
      <alignment horizontal="left" vertical="center"/>
    </xf>
    <xf numFmtId="1" fontId="24" fillId="0" borderId="0" xfId="0" applyNumberFormat="1" applyFont="1" applyAlignment="1">
      <alignment vertical="center"/>
    </xf>
    <xf numFmtId="0" fontId="24" fillId="0" borderId="2" xfId="0" applyFont="1" applyBorder="1" applyAlignment="1">
      <alignment vertical="center"/>
    </xf>
    <xf numFmtId="1" fontId="24" fillId="0" borderId="2" xfId="0" applyNumberFormat="1" applyFont="1" applyBorder="1" applyAlignment="1">
      <alignment vertical="center"/>
    </xf>
    <xf numFmtId="0" fontId="24" fillId="0" borderId="2" xfId="0" applyFont="1" applyBorder="1"/>
    <xf numFmtId="0" fontId="24" fillId="0" borderId="8" xfId="0" applyFont="1" applyBorder="1" applyAlignment="1">
      <alignment vertical="center"/>
    </xf>
    <xf numFmtId="0" fontId="24" fillId="0" borderId="3" xfId="0" applyFont="1" applyBorder="1" applyAlignment="1">
      <alignment vertical="center"/>
    </xf>
    <xf numFmtId="0" fontId="24" fillId="0" borderId="1" xfId="0" applyFont="1" applyBorder="1" applyAlignment="1">
      <alignment horizontal="center" vertical="center"/>
    </xf>
    <xf numFmtId="169" fontId="24" fillId="0" borderId="1" xfId="0" applyNumberFormat="1" applyFont="1" applyBorder="1" applyAlignment="1">
      <alignment horizontal="center" vertical="center"/>
    </xf>
    <xf numFmtId="0" fontId="0" fillId="2" borderId="0" xfId="0" quotePrefix="1" applyFill="1"/>
    <xf numFmtId="14" fontId="24" fillId="0" borderId="1" xfId="0" applyNumberFormat="1" applyFont="1" applyBorder="1" applyAlignment="1">
      <alignment horizontal="center" vertical="center"/>
    </xf>
    <xf numFmtId="0" fontId="24" fillId="0" borderId="1" xfId="0" applyFont="1" applyBorder="1" applyAlignment="1">
      <alignment horizontal="left" vertical="center"/>
    </xf>
    <xf numFmtId="165" fontId="28" fillId="0" borderId="0" xfId="0" applyNumberFormat="1" applyFont="1" applyAlignment="1">
      <alignment horizontal="center" vertical="center"/>
    </xf>
    <xf numFmtId="14" fontId="0" fillId="2" borderId="0" xfId="0" applyNumberFormat="1" applyFill="1"/>
    <xf numFmtId="0" fontId="0" fillId="0" borderId="8" xfId="0" applyBorder="1"/>
    <xf numFmtId="0" fontId="18" fillId="4" borderId="15" xfId="8" applyFill="1" applyBorder="1" applyAlignment="1" applyProtection="1">
      <alignment horizontal="center" vertical="center"/>
      <protection locked="0"/>
    </xf>
    <xf numFmtId="10" fontId="18" fillId="4" borderId="15" xfId="8" applyNumberFormat="1" applyFill="1" applyBorder="1" applyAlignment="1" applyProtection="1">
      <alignment horizontal="center" vertical="center"/>
      <protection locked="0"/>
    </xf>
    <xf numFmtId="10" fontId="18" fillId="4" borderId="19" xfId="8" applyNumberFormat="1" applyFill="1" applyBorder="1" applyAlignment="1" applyProtection="1">
      <alignment horizontal="center" vertical="center"/>
      <protection locked="0"/>
    </xf>
    <xf numFmtId="0" fontId="7" fillId="0" borderId="0" xfId="0" applyFont="1" applyAlignment="1" applyProtection="1">
      <alignment horizontal="left" vertical="center" wrapText="1"/>
      <protection locked="0"/>
    </xf>
    <xf numFmtId="0" fontId="7" fillId="0" borderId="0" xfId="0" applyFont="1" applyAlignment="1" applyProtection="1">
      <alignment horizontal="center" vertical="center"/>
      <protection locked="0"/>
    </xf>
    <xf numFmtId="169" fontId="7" fillId="0" borderId="0" xfId="0" applyNumberFormat="1" applyFont="1" applyAlignment="1" applyProtection="1">
      <alignment horizontal="center" vertical="center"/>
      <protection locked="0"/>
    </xf>
    <xf numFmtId="0" fontId="7" fillId="0" borderId="0" xfId="0" applyFont="1" applyAlignment="1" applyProtection="1">
      <alignment horizontal="left" vertical="center"/>
      <protection locked="0"/>
    </xf>
    <xf numFmtId="0" fontId="7" fillId="0" borderId="0" xfId="0" applyFont="1" applyAlignment="1" applyProtection="1">
      <alignment vertical="center"/>
      <protection locked="0"/>
    </xf>
    <xf numFmtId="0" fontId="0" fillId="0" borderId="0" xfId="0" applyAlignment="1" applyProtection="1">
      <alignment vertical="center"/>
      <protection locked="0"/>
    </xf>
    <xf numFmtId="0" fontId="24" fillId="5" borderId="0" xfId="0" applyFont="1" applyFill="1" applyAlignment="1" applyProtection="1">
      <alignment horizontal="left"/>
      <protection locked="0"/>
    </xf>
    <xf numFmtId="0" fontId="24" fillId="5" borderId="0" xfId="0" applyFont="1" applyFill="1" applyAlignment="1" applyProtection="1">
      <alignment horizontal="center"/>
      <protection locked="0"/>
    </xf>
    <xf numFmtId="0" fontId="24" fillId="0" borderId="0" xfId="0" applyFont="1" applyAlignment="1">
      <alignment horizontal="left"/>
    </xf>
    <xf numFmtId="0" fontId="24" fillId="0" borderId="0" xfId="0" applyFont="1" applyAlignment="1">
      <alignment horizontal="center"/>
    </xf>
    <xf numFmtId="169" fontId="24" fillId="0" borderId="0" xfId="0" applyNumberFormat="1" applyFont="1" applyAlignment="1">
      <alignment horizontal="center"/>
    </xf>
    <xf numFmtId="14" fontId="24" fillId="0" borderId="0" xfId="0" applyNumberFormat="1" applyFont="1" applyAlignment="1">
      <alignment horizontal="center"/>
    </xf>
    <xf numFmtId="0" fontId="24" fillId="0" borderId="0" xfId="0" applyFont="1" applyAlignment="1">
      <alignment horizontal="left" vertical="center"/>
    </xf>
    <xf numFmtId="0" fontId="24" fillId="0" borderId="0" xfId="0" applyFont="1" applyAlignment="1">
      <alignment horizontal="center" vertical="center"/>
    </xf>
    <xf numFmtId="169" fontId="24" fillId="0" borderId="0" xfId="0" applyNumberFormat="1" applyFont="1" applyAlignment="1">
      <alignment horizontal="center" vertical="center"/>
    </xf>
    <xf numFmtId="14" fontId="24" fillId="0" borderId="0" xfId="0" applyNumberFormat="1" applyFont="1" applyAlignment="1">
      <alignment horizontal="center" vertical="center"/>
    </xf>
    <xf numFmtId="168" fontId="24" fillId="0" borderId="0" xfId="0" applyNumberFormat="1" applyFont="1" applyAlignment="1">
      <alignment horizontal="center" vertical="center"/>
    </xf>
    <xf numFmtId="164" fontId="24" fillId="0" borderId="0" xfId="0" applyNumberFormat="1" applyFont="1" applyAlignment="1">
      <alignment horizontal="center" vertical="center"/>
    </xf>
    <xf numFmtId="0" fontId="24" fillId="0" borderId="0" xfId="0" applyFont="1" applyAlignment="1">
      <alignment horizontal="left" vertical="center" wrapText="1"/>
    </xf>
    <xf numFmtId="169" fontId="25" fillId="0" borderId="0" xfId="0" applyNumberFormat="1" applyFont="1" applyAlignment="1">
      <alignment horizontal="center" vertical="center"/>
    </xf>
    <xf numFmtId="14" fontId="26" fillId="0" borderId="0" xfId="0" applyNumberFormat="1" applyFont="1" applyAlignment="1">
      <alignment horizontal="center" vertical="center"/>
    </xf>
    <xf numFmtId="166" fontId="24" fillId="0" borderId="0" xfId="0" applyNumberFormat="1" applyFont="1" applyAlignment="1">
      <alignment horizontal="center"/>
    </xf>
    <xf numFmtId="3" fontId="24" fillId="0" borderId="0" xfId="0" applyNumberFormat="1" applyFont="1" applyAlignment="1">
      <alignment horizontal="center" vertical="center"/>
    </xf>
    <xf numFmtId="0" fontId="24" fillId="0" borderId="0" xfId="0" quotePrefix="1" applyFont="1" applyAlignment="1">
      <alignment horizontal="left" vertical="center"/>
    </xf>
    <xf numFmtId="0" fontId="27" fillId="0" borderId="0" xfId="4" applyFont="1" applyFill="1" applyBorder="1" applyAlignment="1" applyProtection="1">
      <alignment horizontal="left" vertical="center"/>
    </xf>
    <xf numFmtId="0" fontId="8" fillId="0" borderId="0" xfId="0" applyFont="1" applyAlignment="1" applyProtection="1">
      <alignment vertical="center"/>
      <protection locked="0"/>
    </xf>
    <xf numFmtId="14" fontId="7" fillId="0" borderId="6" xfId="0" applyNumberFormat="1" applyFont="1" applyBorder="1" applyAlignment="1">
      <alignment horizontal="left" vertical="center"/>
    </xf>
    <xf numFmtId="14" fontId="7" fillId="0" borderId="0" xfId="0" applyNumberFormat="1" applyFont="1" applyAlignment="1">
      <alignment horizontal="left" vertical="center"/>
    </xf>
    <xf numFmtId="0" fontId="22" fillId="2" borderId="0" xfId="0" applyFont="1" applyFill="1" applyAlignment="1">
      <alignment vertical="center"/>
    </xf>
    <xf numFmtId="0" fontId="18" fillId="4" borderId="7" xfId="8" applyFill="1" applyBorder="1" applyAlignment="1" applyProtection="1">
      <alignment horizontal="center" vertical="center"/>
      <protection locked="0"/>
    </xf>
    <xf numFmtId="0" fontId="18" fillId="4" borderId="0" xfId="8" applyFill="1" applyBorder="1" applyAlignment="1" applyProtection="1">
      <alignment horizontal="center" vertical="center"/>
      <protection locked="0"/>
    </xf>
    <xf numFmtId="0" fontId="18" fillId="4" borderId="2" xfId="8" applyFill="1" applyBorder="1" applyAlignment="1" applyProtection="1">
      <alignment horizontal="center" vertical="center"/>
      <protection locked="0"/>
    </xf>
    <xf numFmtId="0" fontId="3" fillId="4" borderId="8" xfId="4" applyFill="1" applyBorder="1" applyAlignment="1" applyProtection="1">
      <alignment horizontal="center" vertical="center"/>
      <protection locked="0"/>
    </xf>
    <xf numFmtId="0" fontId="18" fillId="4" borderId="1" xfId="8" applyFill="1" applyBorder="1" applyAlignment="1" applyProtection="1">
      <alignment horizontal="center" vertical="center"/>
      <protection locked="0"/>
    </xf>
    <xf numFmtId="0" fontId="18" fillId="4" borderId="3" xfId="8" applyFill="1" applyBorder="1" applyAlignment="1" applyProtection="1">
      <alignment horizontal="center" vertical="center"/>
      <protection locked="0"/>
    </xf>
    <xf numFmtId="0" fontId="18" fillId="4" borderId="4" xfId="8" applyFill="1" applyBorder="1" applyAlignment="1" applyProtection="1">
      <alignment horizontal="center" vertical="center"/>
      <protection locked="0"/>
    </xf>
    <xf numFmtId="0" fontId="18" fillId="4" borderId="6" xfId="8" applyFill="1" applyBorder="1" applyAlignment="1" applyProtection="1">
      <alignment horizontal="center" vertical="center"/>
      <protection locked="0"/>
    </xf>
    <xf numFmtId="0" fontId="18" fillId="4" borderId="5" xfId="8" applyFill="1" applyBorder="1" applyAlignment="1" applyProtection="1">
      <alignment horizontal="center" vertical="center"/>
      <protection locked="0"/>
    </xf>
    <xf numFmtId="0" fontId="3" fillId="4" borderId="7" xfId="4" applyFill="1" applyBorder="1" applyAlignment="1" applyProtection="1">
      <alignment horizontal="center" vertical="center"/>
      <protection locked="0"/>
    </xf>
    <xf numFmtId="0" fontId="8" fillId="0" borderId="4" xfId="0" applyFont="1" applyBorder="1" applyAlignment="1">
      <alignment vertical="center"/>
    </xf>
    <xf numFmtId="0" fontId="8" fillId="0" borderId="6" xfId="0" applyFont="1" applyBorder="1" applyAlignment="1">
      <alignment vertical="center"/>
    </xf>
    <xf numFmtId="165" fontId="7" fillId="0" borderId="7" xfId="0" applyNumberFormat="1" applyFont="1" applyBorder="1" applyAlignment="1">
      <alignment vertical="center"/>
    </xf>
    <xf numFmtId="165" fontId="7" fillId="0" borderId="0" xfId="0" applyNumberFormat="1" applyFont="1" applyAlignment="1">
      <alignment vertical="center"/>
    </xf>
    <xf numFmtId="0" fontId="7" fillId="0" borderId="7" xfId="0" applyFont="1" applyBorder="1" applyAlignment="1">
      <alignment vertical="center"/>
    </xf>
    <xf numFmtId="0" fontId="7" fillId="0" borderId="2" xfId="0" applyFont="1" applyBorder="1" applyAlignment="1">
      <alignment vertical="center"/>
    </xf>
    <xf numFmtId="167" fontId="18" fillId="4" borderId="7" xfId="8" applyNumberFormat="1" applyFill="1" applyBorder="1" applyAlignment="1" applyProtection="1">
      <alignment horizontal="center" vertical="center"/>
      <protection locked="0"/>
    </xf>
    <xf numFmtId="167" fontId="18" fillId="4" borderId="0" xfId="8" applyNumberFormat="1" applyFill="1" applyBorder="1" applyAlignment="1" applyProtection="1">
      <alignment horizontal="center" vertical="center"/>
      <protection locked="0"/>
    </xf>
    <xf numFmtId="167" fontId="18" fillId="4" borderId="2" xfId="8" applyNumberFormat="1" applyFill="1" applyBorder="1" applyAlignment="1" applyProtection="1">
      <alignment horizontal="center" vertical="center"/>
      <protection locked="0"/>
    </xf>
    <xf numFmtId="0" fontId="18" fillId="4" borderId="16" xfId="8" applyFill="1" applyBorder="1" applyAlignment="1" applyProtection="1">
      <alignment horizontal="center" vertical="center"/>
      <protection locked="0"/>
    </xf>
    <xf numFmtId="0" fontId="18" fillId="4" borderId="17" xfId="8" applyFill="1" applyBorder="1" applyAlignment="1" applyProtection="1">
      <alignment horizontal="center" vertical="center"/>
      <protection locked="0"/>
    </xf>
    <xf numFmtId="0" fontId="18" fillId="4" borderId="18" xfId="8" applyFill="1" applyBorder="1" applyAlignment="1" applyProtection="1">
      <alignment horizontal="center" vertical="center"/>
      <protection locked="0"/>
    </xf>
    <xf numFmtId="0" fontId="10" fillId="0" borderId="0" xfId="2" applyFont="1" applyAlignment="1">
      <alignment horizontal="center" vertical="center"/>
    </xf>
    <xf numFmtId="0" fontId="10" fillId="0" borderId="2" xfId="2" applyFont="1" applyBorder="1" applyAlignment="1">
      <alignment horizontal="center" vertical="center"/>
    </xf>
    <xf numFmtId="0" fontId="6" fillId="0" borderId="10" xfId="0" applyFont="1" applyBorder="1" applyAlignment="1">
      <alignment horizontal="right" vertical="center"/>
    </xf>
    <xf numFmtId="0" fontId="6" fillId="0" borderId="9" xfId="0" applyFont="1" applyBorder="1" applyAlignment="1">
      <alignment horizontal="right" vertical="center"/>
    </xf>
    <xf numFmtId="0" fontId="8" fillId="0" borderId="10" xfId="0" applyFont="1" applyBorder="1" applyAlignment="1">
      <alignment horizontal="right" vertical="center"/>
    </xf>
    <xf numFmtId="0" fontId="8" fillId="0" borderId="9" xfId="0" applyFont="1" applyBorder="1" applyAlignment="1">
      <alignment horizontal="right" vertical="center"/>
    </xf>
    <xf numFmtId="0" fontId="8" fillId="0" borderId="7" xfId="0" applyFont="1" applyBorder="1" applyAlignment="1">
      <alignment horizontal="right" vertical="center"/>
    </xf>
    <xf numFmtId="0" fontId="8" fillId="0" borderId="0" xfId="0" applyFont="1" applyAlignment="1">
      <alignment horizontal="right" vertical="center"/>
    </xf>
    <xf numFmtId="0" fontId="8" fillId="0" borderId="4" xfId="0" applyFont="1" applyBorder="1" applyAlignment="1">
      <alignment horizontal="right" vertical="center"/>
    </xf>
    <xf numFmtId="0" fontId="8" fillId="0" borderId="6" xfId="0" applyFont="1" applyBorder="1" applyAlignment="1">
      <alignment horizontal="right" vertical="center"/>
    </xf>
    <xf numFmtId="0" fontId="8" fillId="0" borderId="8" xfId="0" applyFont="1" applyBorder="1" applyAlignment="1">
      <alignment horizontal="center" vertical="center"/>
    </xf>
    <xf numFmtId="0" fontId="8" fillId="0" borderId="1" xfId="0" applyFont="1" applyBorder="1" applyAlignment="1">
      <alignment horizontal="center" vertical="center"/>
    </xf>
    <xf numFmtId="0" fontId="13" fillId="2" borderId="0" xfId="0" applyFont="1" applyFill="1" applyAlignment="1">
      <alignment horizontal="center"/>
    </xf>
    <xf numFmtId="0" fontId="13" fillId="2" borderId="0" xfId="0" applyFont="1" applyFill="1" applyAlignment="1">
      <alignment horizontal="center" vertical="center"/>
    </xf>
    <xf numFmtId="0" fontId="20" fillId="2" borderId="0" xfId="0" applyFont="1" applyFill="1" applyAlignment="1">
      <alignment horizontal="left" vertical="center" wrapText="1"/>
    </xf>
    <xf numFmtId="0" fontId="19" fillId="2" borderId="0" xfId="0" applyFont="1" applyFill="1" applyAlignment="1">
      <alignment horizontal="center" vertical="center"/>
    </xf>
    <xf numFmtId="3" fontId="7" fillId="0" borderId="7" xfId="1" applyNumberFormat="1" applyFont="1" applyBorder="1" applyAlignment="1">
      <alignment horizontal="left" vertical="center"/>
    </xf>
    <xf numFmtId="3" fontId="7" fillId="0" borderId="0" xfId="1" applyNumberFormat="1" applyFont="1" applyAlignment="1">
      <alignment horizontal="left" vertical="center"/>
    </xf>
    <xf numFmtId="0" fontId="8" fillId="0" borderId="5" xfId="0" applyFont="1" applyBorder="1" applyAlignment="1">
      <alignment vertical="center"/>
    </xf>
    <xf numFmtId="0" fontId="18" fillId="2" borderId="0" xfId="8" applyFill="1" applyBorder="1" applyAlignment="1">
      <alignment horizontal="center" vertical="center"/>
    </xf>
    <xf numFmtId="167" fontId="18" fillId="2" borderId="0" xfId="8" applyNumberFormat="1" applyFill="1" applyBorder="1" applyAlignment="1">
      <alignment horizontal="center" vertical="center"/>
    </xf>
    <xf numFmtId="0" fontId="3" fillId="2" borderId="0" xfId="4" applyFill="1" applyBorder="1" applyAlignment="1">
      <alignment horizontal="center" vertical="center"/>
    </xf>
    <xf numFmtId="0" fontId="8" fillId="0" borderId="7" xfId="0" applyFont="1" applyBorder="1" applyAlignment="1">
      <alignment horizontal="center" vertical="center"/>
    </xf>
    <xf numFmtId="0" fontId="8" fillId="0" borderId="0" xfId="0" applyFont="1" applyAlignment="1">
      <alignment horizontal="center" vertical="center"/>
    </xf>
    <xf numFmtId="0" fontId="7" fillId="0" borderId="0" xfId="0" applyFont="1" applyAlignment="1">
      <alignment vertical="center"/>
    </xf>
    <xf numFmtId="0" fontId="21" fillId="6" borderId="15" xfId="0" applyFont="1" applyFill="1" applyBorder="1" applyAlignment="1">
      <alignment vertical="center"/>
    </xf>
  </cellXfs>
  <cellStyles count="9">
    <cellStyle name="Excel_BuiltIn_Hyperlink" xfId="1" xr:uid="{00000000-0005-0000-0000-000000000000}"/>
    <cellStyle name="Good" xfId="8" builtinId="26"/>
    <cellStyle name="Heading" xfId="2" xr:uid="{00000000-0005-0000-0000-000001000000}"/>
    <cellStyle name="Heading1" xfId="3" xr:uid="{00000000-0005-0000-0000-000002000000}"/>
    <cellStyle name="Hyperlink" xfId="4" builtinId="8"/>
    <cellStyle name="Hypertextový odkaz 2" xfId="5" xr:uid="{00000000-0005-0000-0000-000004000000}"/>
    <cellStyle name="Normal" xfId="0" builtinId="0"/>
    <cellStyle name="Result" xfId="6" xr:uid="{00000000-0005-0000-0000-000006000000}"/>
    <cellStyle name="Result2" xfId="7" xr:uid="{00000000-0005-0000-0000-000007000000}"/>
  </cellStyles>
  <dxfs count="56">
    <dxf>
      <font>
        <b val="0"/>
        <i val="0"/>
        <strike val="0"/>
        <condense val="0"/>
        <extend val="0"/>
        <outline val="0"/>
        <shadow val="0"/>
        <u val="none"/>
        <vertAlign val="baseline"/>
        <sz val="11"/>
        <color auto="1"/>
        <name val="Arial"/>
        <family val="2"/>
        <charset val="238"/>
        <scheme val="none"/>
      </font>
      <numFmt numFmtId="169" formatCode="[$$-409]#,##0.00"/>
      <fill>
        <patternFill patternType="none">
          <fgColor indexed="64"/>
          <bgColor auto="1"/>
        </patternFill>
      </fill>
      <alignment vertical="center" textRotation="0" wrapText="0" indent="0" justifyLastLine="0" shrinkToFit="0" readingOrder="0"/>
    </dxf>
    <dxf>
      <font>
        <b val="0"/>
        <i val="0"/>
        <strike val="0"/>
        <condense val="0"/>
        <extend val="0"/>
        <outline val="0"/>
        <shadow val="0"/>
        <u val="none"/>
        <vertAlign val="baseline"/>
        <sz val="11"/>
        <color indexed="8"/>
        <name val="Arial"/>
        <family val="2"/>
        <charset val="238"/>
        <scheme val="none"/>
      </font>
      <numFmt numFmtId="166" formatCode="#,##0.00\ &quot;Kč&quot;"/>
      <border diagonalUp="0" diagonalDown="0" outline="0">
        <left/>
        <right/>
        <top/>
        <bottom/>
      </border>
    </dxf>
    <dxf>
      <font>
        <b/>
        <i val="0"/>
        <strike val="0"/>
        <condense val="0"/>
        <extend val="0"/>
        <outline val="0"/>
        <shadow val="0"/>
        <u val="none"/>
        <vertAlign val="baseline"/>
        <sz val="10"/>
        <color indexed="8"/>
        <name val="Arial"/>
        <family val="2"/>
        <charset val="238"/>
        <scheme val="none"/>
      </font>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indexed="8"/>
        <name val="Arial"/>
        <family val="2"/>
        <charset val="238"/>
        <scheme val="none"/>
      </font>
      <alignment horizontal="right" vertical="bottom" textRotation="0" wrapText="0" indent="0" justifyLastLine="0" shrinkToFit="0" readingOrder="0"/>
      <border diagonalUp="0" diagonalDown="0" outline="0">
        <left/>
        <right/>
        <top/>
        <bottom/>
      </border>
    </dxf>
    <dxf>
      <fill>
        <patternFill patternType="none">
          <fgColor rgb="FF000000"/>
          <bgColor auto="1"/>
        </patternFill>
      </fill>
      <alignment vertical="center" textRotation="0" wrapText="0" indent="0" justifyLastLine="0" shrinkToFit="0" readingOrder="0"/>
    </dxf>
    <dxf>
      <fill>
        <patternFill patternType="none">
          <fgColor indexed="64"/>
          <bgColor auto="1"/>
        </patternFill>
      </fill>
      <alignment vertical="center" textRotation="0" wrapText="0" indent="0" justifyLastLine="0" shrinkToFit="0" readingOrder="0"/>
    </dxf>
    <dxf>
      <font>
        <b val="0"/>
        <i val="0"/>
        <strike val="0"/>
        <condense val="0"/>
        <extend val="0"/>
        <outline val="0"/>
        <shadow val="0"/>
        <u val="none"/>
        <vertAlign val="baseline"/>
        <sz val="11"/>
        <color indexed="8"/>
        <name val="Arial"/>
        <family val="2"/>
        <charset val="238"/>
        <scheme val="none"/>
      </font>
      <numFmt numFmtId="165" formatCode="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indexed="8"/>
        <name val="Arial"/>
        <family val="2"/>
        <charset val="238"/>
        <scheme val="none"/>
      </font>
      <numFmt numFmtId="168" formatCode="d&quot;. &quot;m&quot;. &quot;yyyy"/>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indexed="8"/>
        <name val="Arial"/>
        <family val="2"/>
        <charset val="238"/>
        <scheme val="none"/>
      </font>
      <fill>
        <patternFill patternType="none">
          <fgColor indexed="64"/>
          <bgColor auto="1"/>
        </patternFill>
      </fill>
      <alignment horizontal="general" vertical="center" textRotation="0" wrapText="0" indent="0" justifyLastLine="0" shrinkToFit="0" readingOrder="0"/>
    </dxf>
    <dxf>
      <border diagonalUp="0" diagonalDown="0">
        <left style="medium">
          <color rgb="FF000000"/>
        </left>
        <right style="medium">
          <color rgb="FF000000"/>
        </right>
        <top style="medium">
          <color rgb="FF000000"/>
        </top>
        <bottom style="medium">
          <color rgb="FF000000"/>
        </bottom>
      </border>
    </dxf>
    <dxf>
      <font>
        <b val="0"/>
        <i val="0"/>
        <strike val="0"/>
        <condense val="0"/>
        <extend val="0"/>
        <outline val="0"/>
        <shadow val="0"/>
        <u val="none"/>
        <vertAlign val="baseline"/>
        <sz val="11"/>
        <color rgb="FF000000"/>
        <name val="Arial"/>
        <family val="2"/>
        <charset val="238"/>
        <scheme val="none"/>
      </font>
      <fill>
        <patternFill patternType="none">
          <fgColor rgb="FF000000"/>
          <bgColor auto="1"/>
        </patternFill>
      </fill>
      <alignment horizontal="left" vertical="center" textRotation="0" wrapText="0" indent="0" justifyLastLine="0" shrinkToFit="0" readingOrder="0"/>
    </dxf>
    <dxf>
      <fill>
        <patternFill patternType="none">
          <fgColor indexed="64"/>
          <bgColor auto="1"/>
        </patternFill>
      </fill>
      <alignment vertical="center" textRotation="0" indent="0" justifyLastLine="0" shrinkToFit="0" readingOrder="0"/>
    </dxf>
    <dxf>
      <font>
        <b val="0"/>
        <i val="0"/>
        <strike val="0"/>
        <condense val="0"/>
        <extend val="0"/>
        <outline val="0"/>
        <shadow val="0"/>
        <u val="none"/>
        <vertAlign val="baseline"/>
        <sz val="11"/>
        <color indexed="8"/>
        <name val="Arial"/>
        <family val="2"/>
        <charset val="238"/>
        <scheme val="none"/>
      </font>
      <numFmt numFmtId="169" formatCode="[$$-409]#,##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indexed="8"/>
        <name val="Arial"/>
        <family val="2"/>
        <charset val="238"/>
        <scheme val="none"/>
      </font>
      <numFmt numFmtId="169" formatCode="[$$-409]#,##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indexed="8"/>
        <name val="Arial"/>
        <family val="2"/>
        <charset val="238"/>
        <scheme val="none"/>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indexed="8"/>
        <name val="Arial"/>
        <family val="2"/>
        <charset val="238"/>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indexed="8"/>
        <name val="Arial"/>
        <family val="2"/>
        <charset val="238"/>
        <scheme val="none"/>
      </font>
      <fill>
        <patternFill patternType="none">
          <fgColor indexed="64"/>
          <bgColor auto="1"/>
        </patternFill>
      </fill>
      <alignment horizontal="left" vertical="center" textRotation="0" wrapText="0" indent="0" justifyLastLine="0" shrinkToFit="0" readingOrder="0"/>
    </dxf>
    <dxf>
      <border diagonalUp="0" diagonalDown="0">
        <left style="medium">
          <color rgb="FF000000"/>
        </left>
        <right style="medium">
          <color rgb="FF000000"/>
        </right>
        <top style="medium">
          <color rgb="FF000000"/>
        </top>
        <bottom style="medium">
          <color rgb="FF000000"/>
        </bottom>
      </border>
    </dxf>
    <dxf>
      <font>
        <b val="0"/>
        <i val="0"/>
        <strike val="0"/>
        <condense val="0"/>
        <extend val="0"/>
        <outline val="0"/>
        <shadow val="0"/>
        <u val="none"/>
        <vertAlign val="baseline"/>
        <sz val="11"/>
        <color rgb="FF000000"/>
        <name val="Arial"/>
        <family val="2"/>
        <charset val="238"/>
        <scheme val="none"/>
      </font>
      <fill>
        <patternFill patternType="none">
          <fgColor rgb="FF000000"/>
          <bgColor auto="1"/>
        </patternFill>
      </fill>
      <alignment horizontal="right" vertical="center" textRotation="0" wrapText="0" indent="0" justifyLastLine="0" shrinkToFit="0" readingOrder="0"/>
    </dxf>
    <dxf>
      <font>
        <strike val="0"/>
        <outline val="0"/>
        <shadow val="0"/>
        <u val="none"/>
        <sz val="11"/>
        <name val="Arial"/>
        <family val="2"/>
        <charset val="238"/>
        <scheme val="none"/>
      </font>
      <fill>
        <patternFill patternType="none">
          <fgColor indexed="64"/>
          <bgColor auto="1"/>
        </patternFill>
      </fill>
      <alignment vertical="center" textRotation="0" indent="0" justifyLastLine="0" shrinkToFit="0" readingOrder="0"/>
    </dxf>
    <dxf>
      <font>
        <b val="0"/>
        <i val="0"/>
        <strike val="0"/>
        <condense val="0"/>
        <extend val="0"/>
        <outline val="0"/>
        <shadow val="0"/>
        <u val="none"/>
        <vertAlign val="baseline"/>
        <sz val="11"/>
        <color indexed="8"/>
        <name val="Arial"/>
        <family val="2"/>
        <charset val="238"/>
        <scheme val="none"/>
      </font>
      <numFmt numFmtId="169" formatCode="[$$-409]#,##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indexed="8"/>
        <name val="Arial"/>
        <family val="2"/>
        <charset val="238"/>
        <scheme val="none"/>
      </font>
      <numFmt numFmtId="169" formatCode="[$$-409]#,##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indexed="8"/>
        <name val="Arial"/>
        <family val="2"/>
        <charset val="238"/>
        <scheme val="none"/>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indexed="8"/>
        <name val="Arial"/>
        <family val="2"/>
        <charset val="238"/>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indexed="8"/>
        <name val="Arial"/>
        <family val="2"/>
        <charset val="238"/>
        <scheme val="none"/>
      </font>
      <numFmt numFmtId="0" formatCode="General"/>
      <fill>
        <patternFill patternType="none">
          <fgColor indexed="64"/>
          <bgColor auto="1"/>
        </patternFill>
      </fill>
      <alignment vertical="center" textRotation="0" indent="0" justifyLastLine="0" shrinkToFit="0" readingOrder="0"/>
    </dxf>
    <dxf>
      <border diagonalUp="0" diagonalDown="0">
        <left style="medium">
          <color rgb="FF000000"/>
        </left>
        <right style="medium">
          <color rgb="FF000000"/>
        </right>
        <top style="medium">
          <color rgb="FF000000"/>
        </top>
        <bottom style="medium">
          <color rgb="FF000000"/>
        </bottom>
      </border>
    </dxf>
    <dxf>
      <font>
        <b val="0"/>
        <i val="0"/>
        <strike val="0"/>
        <condense val="0"/>
        <extend val="0"/>
        <outline val="0"/>
        <shadow val="0"/>
        <u val="none"/>
        <vertAlign val="baseline"/>
        <sz val="11"/>
        <color rgb="FF000000"/>
        <name val="Arial"/>
        <family val="2"/>
        <charset val="238"/>
        <scheme val="none"/>
      </font>
      <fill>
        <patternFill patternType="none">
          <fgColor rgb="FF000000"/>
          <bgColor auto="1"/>
        </patternFill>
      </fill>
      <alignment horizontal="general" vertical="center" textRotation="0" wrapText="0" indent="0" justifyLastLine="0" shrinkToFit="0" readingOrder="0"/>
    </dxf>
    <dxf>
      <font>
        <strike val="0"/>
        <outline val="0"/>
        <shadow val="0"/>
        <u val="none"/>
        <sz val="11"/>
        <name val="Arial"/>
        <family val="2"/>
        <charset val="238"/>
        <scheme val="none"/>
      </font>
      <fill>
        <patternFill patternType="none">
          <fgColor indexed="64"/>
          <bgColor auto="1"/>
        </patternFill>
      </fill>
      <alignment vertical="center" textRotation="0" indent="0" justifyLastLine="0" shrinkToFit="0" readingOrder="0"/>
    </dxf>
    <dxf>
      <font>
        <b val="0"/>
        <i val="0"/>
        <strike val="0"/>
        <condense val="0"/>
        <extend val="0"/>
        <outline val="0"/>
        <shadow val="0"/>
        <u val="none"/>
        <vertAlign val="baseline"/>
        <sz val="11"/>
        <color auto="1"/>
        <name val="Arial"/>
        <family val="2"/>
        <charset val="238"/>
        <scheme val="none"/>
      </font>
      <numFmt numFmtId="169" formatCode="[$$-409]#,##0.00"/>
      <fill>
        <patternFill patternType="none">
          <fgColor indexed="64"/>
          <bgColor auto="1"/>
        </patternFill>
      </fill>
      <alignment vertical="center" textRotation="0" wrapText="0" indent="0" justifyLastLine="0" shrinkToFit="0" readingOrder="0"/>
    </dxf>
    <dxf>
      <font>
        <b val="0"/>
        <i val="0"/>
        <strike val="0"/>
        <condense val="0"/>
        <extend val="0"/>
        <outline val="0"/>
        <shadow val="0"/>
        <u val="none"/>
        <vertAlign val="baseline"/>
        <sz val="11"/>
        <color indexed="8"/>
        <name val="Arial"/>
        <family val="2"/>
        <charset val="238"/>
        <scheme val="none"/>
      </font>
      <numFmt numFmtId="166" formatCode="#,##0.00\ &quot;Kč&quot;"/>
      <border diagonalUp="0" diagonalDown="0" outline="0">
        <left/>
        <right/>
        <top/>
        <bottom/>
      </border>
    </dxf>
    <dxf>
      <font>
        <b/>
        <i val="0"/>
        <strike val="0"/>
        <condense val="0"/>
        <extend val="0"/>
        <outline val="0"/>
        <shadow val="0"/>
        <u val="none"/>
        <vertAlign val="baseline"/>
        <sz val="10"/>
        <color indexed="8"/>
        <name val="Arial"/>
        <family val="2"/>
        <charset val="238"/>
        <scheme val="none"/>
      </font>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indexed="8"/>
        <name val="Arial"/>
        <family val="2"/>
        <charset val="238"/>
        <scheme val="none"/>
      </font>
      <alignment horizontal="right" vertical="bottom" textRotation="0" wrapText="0" indent="0" justifyLastLine="0" shrinkToFit="0" readingOrder="0"/>
      <border diagonalUp="0" diagonalDown="0" outline="0">
        <left/>
        <right/>
        <top/>
        <bottom/>
      </border>
    </dxf>
    <dxf>
      <fill>
        <patternFill patternType="none">
          <fgColor indexed="64"/>
          <bgColor auto="1"/>
        </patternFill>
      </fill>
      <alignment vertical="center" textRotation="0" wrapText="0" indent="0" justifyLastLine="0" shrinkToFit="0" readingOrder="0"/>
    </dxf>
    <dxf>
      <fill>
        <patternFill patternType="none">
          <fgColor indexed="64"/>
          <bgColor auto="1"/>
        </patternFill>
      </fill>
      <alignment vertical="center" textRotation="0" wrapText="0" indent="0" justifyLastLine="0" shrinkToFit="0" readingOrder="0"/>
    </dxf>
    <dxf>
      <font>
        <b val="0"/>
        <i val="0"/>
        <strike val="0"/>
        <condense val="0"/>
        <extend val="0"/>
        <outline val="0"/>
        <shadow val="0"/>
        <u val="none"/>
        <vertAlign val="baseline"/>
        <sz val="11"/>
        <color indexed="8"/>
        <name val="Arial"/>
        <family val="2"/>
        <charset val="238"/>
        <scheme val="none"/>
      </font>
      <numFmt numFmtId="165" formatCode="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indexed="8"/>
        <name val="Arial"/>
        <family val="2"/>
        <charset val="238"/>
        <scheme val="none"/>
      </font>
      <numFmt numFmtId="168" formatCode="d&quot;. &quot;m&quot;. &quot;yyyy"/>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indexed="8"/>
        <name val="Arial"/>
        <family val="2"/>
        <charset val="238"/>
        <scheme val="none"/>
      </font>
      <fill>
        <patternFill patternType="none">
          <fgColor indexed="64"/>
          <bgColor auto="1"/>
        </patternFill>
      </fill>
      <alignment horizontal="left"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indexed="8"/>
        <name val="Arial"/>
        <family val="2"/>
        <charset val="238"/>
        <scheme val="none"/>
      </font>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vertical="center" textRotation="0" indent="0" justifyLastLine="0" shrinkToFit="0" readingOrder="0"/>
    </dxf>
    <dxf>
      <font>
        <b val="0"/>
        <i val="0"/>
        <strike val="0"/>
        <condense val="0"/>
        <extend val="0"/>
        <outline val="0"/>
        <shadow val="0"/>
        <u val="none"/>
        <vertAlign val="baseline"/>
        <sz val="11"/>
        <color indexed="8"/>
        <name val="Arial"/>
        <family val="2"/>
        <charset val="238"/>
        <scheme val="none"/>
      </font>
      <numFmt numFmtId="169" formatCode="[$$-409]#,##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indexed="8"/>
        <name val="Arial"/>
        <family val="2"/>
        <charset val="238"/>
        <scheme val="none"/>
      </font>
      <numFmt numFmtId="169" formatCode="[$$-409]#,##0.00"/>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indexed="8"/>
        <name val="Arial"/>
        <family val="2"/>
        <charset val="238"/>
        <scheme val="none"/>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indexed="8"/>
        <name val="Arial"/>
        <family val="2"/>
        <charset val="238"/>
        <scheme val="none"/>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indexed="8"/>
        <name val="Arial"/>
        <family val="2"/>
        <charset val="238"/>
        <scheme val="none"/>
      </font>
      <fill>
        <patternFill patternType="none">
          <fgColor indexed="64"/>
          <bgColor auto="1"/>
        </patternFill>
      </fill>
      <alignment horizontal="left" vertical="center" textRotation="0" wrapText="1" indent="0" justifyLastLine="0" shrinkToFit="0" readingOrder="0"/>
      <protection locked="0" hidden="0"/>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indexed="8"/>
        <name val="Arial"/>
        <family val="2"/>
        <charset val="238"/>
        <scheme val="none"/>
      </font>
      <fill>
        <patternFill patternType="none">
          <fgColor indexed="64"/>
          <bgColor auto="1"/>
        </patternFill>
      </fill>
      <alignment horizontal="right" vertical="center" textRotation="0" wrapText="0" indent="0" justifyLastLine="0" shrinkToFit="0" readingOrder="0"/>
    </dxf>
    <dxf>
      <font>
        <strike val="0"/>
        <outline val="0"/>
        <shadow val="0"/>
        <u val="none"/>
        <sz val="11"/>
        <name val="Arial"/>
        <family val="2"/>
        <charset val="238"/>
        <scheme val="none"/>
      </font>
      <fill>
        <patternFill patternType="none">
          <fgColor indexed="64"/>
          <bgColor auto="1"/>
        </patternFill>
      </fill>
      <alignment vertical="center" textRotation="0" indent="0" justifyLastLine="0" shrinkToFit="0" readingOrder="0"/>
    </dxf>
    <dxf>
      <font>
        <b val="0"/>
        <i val="0"/>
        <strike val="0"/>
        <condense val="0"/>
        <extend val="0"/>
        <outline val="0"/>
        <shadow val="0"/>
        <u val="none"/>
        <vertAlign val="baseline"/>
        <sz val="11"/>
        <color indexed="8"/>
        <name val="Arial"/>
        <family val="2"/>
        <charset val="238"/>
        <scheme val="none"/>
      </font>
      <numFmt numFmtId="169" formatCode="[$$-409]#,##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indexed="8"/>
        <name val="Arial"/>
        <family val="2"/>
        <charset val="238"/>
        <scheme val="none"/>
      </font>
      <numFmt numFmtId="169" formatCode="[$$-409]#,##0.00"/>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indexed="8"/>
        <name val="Arial"/>
        <family val="2"/>
        <charset val="238"/>
        <scheme val="none"/>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indexed="8"/>
        <name val="Arial"/>
        <family val="2"/>
        <charset val="238"/>
        <scheme val="none"/>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indexed="8"/>
        <name val="Arial"/>
        <family val="2"/>
        <charset val="238"/>
        <scheme val="none"/>
      </font>
      <fill>
        <patternFill patternType="none">
          <fgColor indexed="64"/>
          <bgColor auto="1"/>
        </patternFill>
      </fill>
      <alignment horizontal="left" vertical="center" textRotation="0" indent="0" justifyLastLine="0" shrinkToFit="0" readingOrder="0"/>
      <protection locked="0" hidden="0"/>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indexed="8"/>
        <name val="Arial"/>
        <family val="2"/>
        <charset val="238"/>
        <scheme val="none"/>
      </font>
      <fill>
        <patternFill patternType="none">
          <fgColor indexed="64"/>
          <bgColor auto="1"/>
        </patternFill>
      </fill>
      <alignment horizontal="general" vertical="center" textRotation="0" wrapText="0" indent="0" justifyLastLine="0" shrinkToFit="0" readingOrder="0"/>
    </dxf>
    <dxf>
      <font>
        <strike val="0"/>
        <outline val="0"/>
        <shadow val="0"/>
        <u val="none"/>
        <sz val="11"/>
        <name val="Arial"/>
        <family val="2"/>
        <charset val="238"/>
        <scheme val="none"/>
      </font>
      <fill>
        <patternFill patternType="none">
          <fgColor indexed="64"/>
          <bgColor auto="1"/>
        </patternFill>
      </fill>
      <alignment vertical="center" textRotation="0"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2F528F"/>
      <color rgb="FF0033CC"/>
      <color rgb="FFFFAA01"/>
      <color rgb="FF996600"/>
      <color rgb="FF967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2" Type="http://schemas.openxmlformats.org/officeDocument/2006/relationships/image" Target="https://api.qrserver.com/v1/create-qr-code/?&amp;data=SPD*1.0*ACC:CZ2062106701002200921129*AM:341*CC:USD*DT:20230627*RN:John%20Doe*MSG:Gingerbread%202023%20-%20PRICE%20OFFER*X-KS:34*X-SS:167*X-VS:20230528&amp;size=120x120&amp;charset-source=UTF-8&amp;charset-target=UTF-8&amp;ecc=L&amp;color=FF0000&amp;bgcolor=FFFFFF&amp;margin=2&amp;qzone=1&amp;format=png" TargetMode="External"/><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2" Type="http://schemas.openxmlformats.org/officeDocument/2006/relationships/image" Target="https://api.qrserver.com/v1/create-qr-code/?&amp;data=SPD*1.0*ACC:CZ2062106701002200921129*AM:682*CC:USD*DT:20230627*RN:John%20Doe*MSG:Gingerbread%202023%20-%20INVOICE%200252023*X-KS:34*X-SS:167*X-VS:20230528&amp;size=120x120&amp;charset-source=UTF-8&amp;charset-target=UTF-8&amp;ecc=L&amp;color=548235&amp;bgcolor=FFFFFF&amp;margin=2&amp;qzone=1&amp;format=png" TargetMode="External"/><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2</xdr:col>
      <xdr:colOff>66674</xdr:colOff>
      <xdr:row>1</xdr:row>
      <xdr:rowOff>52799</xdr:rowOff>
    </xdr:from>
    <xdr:to>
      <xdr:col>2</xdr:col>
      <xdr:colOff>804582</xdr:colOff>
      <xdr:row>3</xdr:row>
      <xdr:rowOff>99603</xdr:rowOff>
    </xdr:to>
    <xdr:pic>
      <xdr:nvPicPr>
        <xdr:cNvPr id="1040" name="Obrázek 1">
          <a:extLst>
            <a:ext uri="{FF2B5EF4-FFF2-40B4-BE49-F238E27FC236}">
              <a16:creationId xmlns:a16="http://schemas.microsoft.com/office/drawing/2014/main" id="{00000000-0008-0000-0000-000010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504824" y="319499"/>
          <a:ext cx="737908" cy="580204"/>
        </a:xfrm>
        <a:prstGeom prst="rect">
          <a:avLst/>
        </a:prstGeom>
        <a:noFill/>
        <a:ln>
          <a:noFill/>
        </a:ln>
        <a:effectLst>
          <a:outerShdw blurRad="50800" dist="38100" dir="2700000" algn="tl" rotWithShape="0">
            <a:prstClr val="black">
              <a:alpha val="40000"/>
            </a:prstClr>
          </a:outerShdw>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pic>
    <xdr:clientData/>
  </xdr:twoCellAnchor>
  <xdr:twoCellAnchor>
    <xdr:from>
      <xdr:col>9</xdr:col>
      <xdr:colOff>67235</xdr:colOff>
      <xdr:row>81</xdr:row>
      <xdr:rowOff>78441</xdr:rowOff>
    </xdr:from>
    <xdr:to>
      <xdr:col>10</xdr:col>
      <xdr:colOff>560295</xdr:colOff>
      <xdr:row>83</xdr:row>
      <xdr:rowOff>145678</xdr:rowOff>
    </xdr:to>
    <xdr:cxnSp macro="">
      <xdr:nvCxnSpPr>
        <xdr:cNvPr id="3" name="Přímá spojnice se šipkou 2">
          <a:extLst>
            <a:ext uri="{FF2B5EF4-FFF2-40B4-BE49-F238E27FC236}">
              <a16:creationId xmlns:a16="http://schemas.microsoft.com/office/drawing/2014/main" id="{00000000-0008-0000-0000-000003000000}"/>
            </a:ext>
          </a:extLst>
        </xdr:cNvPr>
        <xdr:cNvCxnSpPr/>
      </xdr:nvCxnSpPr>
      <xdr:spPr>
        <a:xfrm flipH="1" flipV="1">
          <a:off x="10287000" y="15508941"/>
          <a:ext cx="1098177" cy="43703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549088</xdr:colOff>
      <xdr:row>25</xdr:row>
      <xdr:rowOff>0</xdr:rowOff>
    </xdr:from>
    <xdr:to>
      <xdr:col>13</xdr:col>
      <xdr:colOff>67235</xdr:colOff>
      <xdr:row>30</xdr:row>
      <xdr:rowOff>145676</xdr:rowOff>
    </xdr:to>
    <xdr:sp macro="[0]!QRPlatbaZalohy" textlink="">
      <xdr:nvSpPr>
        <xdr:cNvPr id="16" name="Rectangle 15">
          <a:extLst>
            <a:ext uri="{FF2B5EF4-FFF2-40B4-BE49-F238E27FC236}">
              <a16:creationId xmlns:a16="http://schemas.microsoft.com/office/drawing/2014/main" id="{7E279A0D-B377-A13D-FFB5-B2FDC8BFA3BE}"/>
            </a:ext>
          </a:extLst>
        </xdr:cNvPr>
        <xdr:cNvSpPr/>
      </xdr:nvSpPr>
      <xdr:spPr>
        <a:xfrm>
          <a:off x="11430000" y="5177118"/>
          <a:ext cx="2947147" cy="997323"/>
        </a:xfrm>
        <a:prstGeom prst="rect">
          <a:avLst/>
        </a:prstGeom>
        <a:gradFill flip="none" rotWithShape="1">
          <a:gsLst>
            <a:gs pos="0">
              <a:schemeClr val="accent1">
                <a:lumMod val="7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tileRect r="-100000" b="-100000"/>
        </a:gradFill>
        <a:effectLst>
          <a:glow rad="127000">
            <a:schemeClr val="accent1">
              <a:satMod val="175000"/>
              <a:alpha val="22000"/>
            </a:schemeClr>
          </a:glow>
          <a:outerShdw blurRad="50800" dist="38100" dir="2700000" algn="tl" rotWithShape="0">
            <a:prstClr val="black">
              <a:alpha val="40000"/>
            </a:prstClr>
          </a:outerShdw>
          <a:reflection endPos="0" dist="50800" dir="5400000" sy="-100000" algn="bl" rotWithShape="0"/>
          <a:softEdge rad="1143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3200">
              <a:solidFill>
                <a:schemeClr val="bg1"/>
              </a:solidFill>
              <a:effectLst>
                <a:outerShdw blurRad="50800" dist="38100" dir="2700000" algn="tl" rotWithShape="0">
                  <a:prstClr val="black">
                    <a:alpha val="40000"/>
                  </a:prstClr>
                </a:outerShdw>
              </a:effectLst>
            </a:rPr>
            <a:t>QR and PDF</a:t>
          </a:r>
          <a:endParaRPr lang="en-US" sz="3200">
            <a:solidFill>
              <a:schemeClr val="bg1"/>
            </a:solidFill>
            <a:effectLst>
              <a:outerShdw blurRad="50800" dist="38100" dir="2700000" algn="tl" rotWithShape="0">
                <a:prstClr val="black">
                  <a:alpha val="40000"/>
                </a:prstClr>
              </a:outerShdw>
            </a:effectLst>
          </a:endParaRPr>
        </a:p>
      </xdr:txBody>
    </xdr:sp>
    <xdr:clientData/>
  </xdr:twoCellAnchor>
  <xdr:twoCellAnchor editAs="oneCell">
    <xdr:from>
      <xdr:col>2</xdr:col>
      <xdr:colOff>2014609</xdr:colOff>
      <xdr:row>62</xdr:row>
      <xdr:rowOff>0</xdr:rowOff>
    </xdr:from>
    <xdr:to>
      <xdr:col>2</xdr:col>
      <xdr:colOff>3157466</xdr:colOff>
      <xdr:row>68</xdr:row>
      <xdr:rowOff>1800</xdr:rowOff>
    </xdr:to>
    <xdr:pic>
      <xdr:nvPicPr>
        <xdr:cNvPr id="4" name="Picture 3">
          <a:extLst>
            <a:ext uri="{FF2B5EF4-FFF2-40B4-BE49-F238E27FC236}">
              <a16:creationId xmlns:a16="http://schemas.microsoft.com/office/drawing/2014/main" id="{E91EE4F0-69E6-855B-B14D-D8132A0FC6B3}"/>
            </a:ext>
          </a:extLst>
        </xdr:cNvPr>
        <xdr:cNvPicPr>
          <a:picLocks/>
        </xdr:cNvPicPr>
      </xdr:nvPicPr>
      <xdr:blipFill>
        <a:blip xmlns:r="http://schemas.openxmlformats.org/officeDocument/2006/relationships" r:link="rId2"/>
        <a:stretch>
          <a:fillRect/>
        </a:stretch>
      </xdr:blipFill>
      <xdr:spPr>
        <a:xfrm>
          <a:off x="2452759" y="12049125"/>
          <a:ext cx="1142857" cy="1144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66674</xdr:colOff>
      <xdr:row>1</xdr:row>
      <xdr:rowOff>52799</xdr:rowOff>
    </xdr:from>
    <xdr:to>
      <xdr:col>2</xdr:col>
      <xdr:colOff>804582</xdr:colOff>
      <xdr:row>3</xdr:row>
      <xdr:rowOff>99603</xdr:rowOff>
    </xdr:to>
    <xdr:pic>
      <xdr:nvPicPr>
        <xdr:cNvPr id="2" name="Obrázek 1">
          <a:extLst>
            <a:ext uri="{FF2B5EF4-FFF2-40B4-BE49-F238E27FC236}">
              <a16:creationId xmlns:a16="http://schemas.microsoft.com/office/drawing/2014/main" id="{52E8FF52-38FA-4704-977A-038A4C4720C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504824" y="319499"/>
          <a:ext cx="737908" cy="580204"/>
        </a:xfrm>
        <a:prstGeom prst="rect">
          <a:avLst/>
        </a:prstGeom>
        <a:noFill/>
        <a:ln>
          <a:noFill/>
        </a:ln>
        <a:effectLst>
          <a:outerShdw blurRad="50800" dist="38100" dir="2700000" algn="tl" rotWithShape="0">
            <a:prstClr val="black">
              <a:alpha val="40000"/>
            </a:prstClr>
          </a:outerShdw>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pic>
    <xdr:clientData/>
  </xdr:twoCellAnchor>
  <xdr:twoCellAnchor>
    <xdr:from>
      <xdr:col>9</xdr:col>
      <xdr:colOff>67235</xdr:colOff>
      <xdr:row>81</xdr:row>
      <xdr:rowOff>78441</xdr:rowOff>
    </xdr:from>
    <xdr:to>
      <xdr:col>10</xdr:col>
      <xdr:colOff>560295</xdr:colOff>
      <xdr:row>83</xdr:row>
      <xdr:rowOff>145678</xdr:rowOff>
    </xdr:to>
    <xdr:cxnSp macro="">
      <xdr:nvCxnSpPr>
        <xdr:cNvPr id="3" name="Přímá spojnice se šipkou 2">
          <a:extLst>
            <a:ext uri="{FF2B5EF4-FFF2-40B4-BE49-F238E27FC236}">
              <a16:creationId xmlns:a16="http://schemas.microsoft.com/office/drawing/2014/main" id="{1411F2CC-585F-408E-B00D-60E8657F13B6}"/>
            </a:ext>
          </a:extLst>
        </xdr:cNvPr>
        <xdr:cNvCxnSpPr/>
      </xdr:nvCxnSpPr>
      <xdr:spPr>
        <a:xfrm flipH="1" flipV="1">
          <a:off x="10306610" y="15728016"/>
          <a:ext cx="1102660" cy="43871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549088</xdr:colOff>
      <xdr:row>25</xdr:row>
      <xdr:rowOff>0</xdr:rowOff>
    </xdr:from>
    <xdr:to>
      <xdr:col>13</xdr:col>
      <xdr:colOff>67235</xdr:colOff>
      <xdr:row>30</xdr:row>
      <xdr:rowOff>145676</xdr:rowOff>
    </xdr:to>
    <xdr:sp macro="[0]!QRPlatbaZalohy" textlink="">
      <xdr:nvSpPr>
        <xdr:cNvPr id="4" name="Rectangle 3">
          <a:extLst>
            <a:ext uri="{FF2B5EF4-FFF2-40B4-BE49-F238E27FC236}">
              <a16:creationId xmlns:a16="http://schemas.microsoft.com/office/drawing/2014/main" id="{D3C3B830-2FFF-43E1-ABAB-D259204B8B62}"/>
            </a:ext>
          </a:extLst>
        </xdr:cNvPr>
        <xdr:cNvSpPr/>
      </xdr:nvSpPr>
      <xdr:spPr>
        <a:xfrm>
          <a:off x="11398063" y="5162550"/>
          <a:ext cx="2947147" cy="1012451"/>
        </a:xfrm>
        <a:prstGeom prst="rect">
          <a:avLst/>
        </a:prstGeom>
        <a:gradFill flip="none" rotWithShape="1">
          <a:gsLst>
            <a:gs pos="0">
              <a:schemeClr val="accent1">
                <a:lumMod val="7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tileRect r="-100000" b="-100000"/>
        </a:gradFill>
        <a:effectLst>
          <a:glow rad="127000">
            <a:schemeClr val="accent1">
              <a:satMod val="175000"/>
              <a:alpha val="22000"/>
            </a:schemeClr>
          </a:glow>
          <a:outerShdw blurRad="50800" dist="38100" dir="2700000" algn="tl" rotWithShape="0">
            <a:prstClr val="black">
              <a:alpha val="40000"/>
            </a:prstClr>
          </a:outerShdw>
          <a:reflection endPos="0" dist="50800" dir="5400000" sy="-100000" algn="bl" rotWithShape="0"/>
          <a:softEdge rad="1143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3200">
              <a:solidFill>
                <a:schemeClr val="bg1"/>
              </a:solidFill>
              <a:effectLst>
                <a:outerShdw blurRad="50800" dist="38100" dir="2700000" algn="tl" rotWithShape="0">
                  <a:prstClr val="black">
                    <a:alpha val="40000"/>
                  </a:prstClr>
                </a:outerShdw>
              </a:effectLst>
            </a:rPr>
            <a:t>QR and PDF</a:t>
          </a:r>
          <a:endParaRPr lang="en-US" sz="3200">
            <a:solidFill>
              <a:schemeClr val="bg1"/>
            </a:solidFill>
            <a:effectLst>
              <a:outerShdw blurRad="50800" dist="38100" dir="2700000" algn="tl" rotWithShape="0">
                <a:prstClr val="black">
                  <a:alpha val="40000"/>
                </a:prstClr>
              </a:outerShdw>
            </a:effectLst>
          </a:endParaRPr>
        </a:p>
      </xdr:txBody>
    </xdr:sp>
    <xdr:clientData/>
  </xdr:twoCellAnchor>
  <xdr:twoCellAnchor editAs="oneCell">
    <xdr:from>
      <xdr:col>2</xdr:col>
      <xdr:colOff>2014609</xdr:colOff>
      <xdr:row>62</xdr:row>
      <xdr:rowOff>0</xdr:rowOff>
    </xdr:from>
    <xdr:to>
      <xdr:col>2</xdr:col>
      <xdr:colOff>3157466</xdr:colOff>
      <xdr:row>67</xdr:row>
      <xdr:rowOff>190357</xdr:rowOff>
    </xdr:to>
    <xdr:pic>
      <xdr:nvPicPr>
        <xdr:cNvPr id="12" name="Picture 11">
          <a:extLst>
            <a:ext uri="{FF2B5EF4-FFF2-40B4-BE49-F238E27FC236}">
              <a16:creationId xmlns:a16="http://schemas.microsoft.com/office/drawing/2014/main" id="{41743511-F263-5EFB-5E5F-EFC7CAE1D44C}"/>
            </a:ext>
          </a:extLst>
        </xdr:cNvPr>
        <xdr:cNvPicPr>
          <a:picLocks/>
        </xdr:cNvPicPr>
      </xdr:nvPicPr>
      <xdr:blipFill>
        <a:blip xmlns:r="http://schemas.openxmlformats.org/officeDocument/2006/relationships" r:link="rId2"/>
        <a:stretch>
          <a:fillRect/>
        </a:stretch>
      </xdr:blipFill>
      <xdr:spPr>
        <a:xfrm>
          <a:off x="2452759" y="12049125"/>
          <a:ext cx="1142857" cy="114285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66674</xdr:colOff>
      <xdr:row>1</xdr:row>
      <xdr:rowOff>52799</xdr:rowOff>
    </xdr:from>
    <xdr:to>
      <xdr:col>2</xdr:col>
      <xdr:colOff>804582</xdr:colOff>
      <xdr:row>3</xdr:row>
      <xdr:rowOff>99604</xdr:rowOff>
    </xdr:to>
    <xdr:pic>
      <xdr:nvPicPr>
        <xdr:cNvPr id="2" name="Obrázek 1">
          <a:extLst>
            <a:ext uri="{FF2B5EF4-FFF2-40B4-BE49-F238E27FC236}">
              <a16:creationId xmlns:a16="http://schemas.microsoft.com/office/drawing/2014/main" id="{EA7B6B2D-C5E2-4462-BEDD-909EE426C19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504824" y="319499"/>
          <a:ext cx="737908" cy="580204"/>
        </a:xfrm>
        <a:prstGeom prst="rect">
          <a:avLst/>
        </a:prstGeom>
        <a:noFill/>
        <a:ln>
          <a:noFill/>
        </a:ln>
        <a:effectLst>
          <a:outerShdw blurRad="50800" dist="38100" dir="2700000" algn="tl" rotWithShape="0">
            <a:prstClr val="black">
              <a:alpha val="40000"/>
            </a:prstClr>
          </a:outerShdw>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pic>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12D80B-6CC2-4610-8514-A5046DA118AD}" name="Table1" displayName="Table1" ref="C46:G52" totalsRowShown="0" headerRowDxfId="55" dataDxfId="54" tableBorderDxfId="53">
  <autoFilter ref="C46:G52" xr:uid="{942EB7BC-32C6-4C0C-8DD3-76FB2AF3F5E8}">
    <filterColumn colId="0" hiddenButton="1"/>
    <filterColumn colId="1" hiddenButton="1"/>
    <filterColumn colId="2" hiddenButton="1"/>
    <filterColumn colId="3" hiddenButton="1"/>
    <filterColumn colId="4" hiddenButton="1"/>
  </autoFilter>
  <sortState xmlns:xlrd2="http://schemas.microsoft.com/office/spreadsheetml/2017/richdata2" ref="C47:G52">
    <sortCondition ref="C50:C52"/>
  </sortState>
  <tableColumns count="5">
    <tableColumn id="1" xr3:uid="{D7E1FFBC-879E-48BD-A8BC-DA51461E704E}" name="Purposefully incurred costs to be reimbursed" dataDxfId="52"/>
    <tableColumn id="2" xr3:uid="{93567A42-5913-4103-983D-48C699FAC688}" name="QU" dataDxfId="51"/>
    <tableColumn id="3" xr3:uid="{1AABAF5E-0D13-4C00-8BA0-49463A2D73B4}" name="Units" dataDxfId="50"/>
    <tableColumn id="4" xr3:uid="{42867D44-8522-43D3-9B0D-8D3AC8071CB9}" name="Price/Unit" dataDxfId="49"/>
    <tableColumn id="5" xr3:uid="{3AC411AF-7B22-4EA4-8AB4-B21871632F0F}" name="Price" dataDxfId="48">
      <calculatedColumnFormula>IF(AND((C47&lt;&gt;""),(D47&lt;&gt;""),(E47&lt;&gt;""),(F47&lt;&gt;"")),(E47*F47),"")</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7FEAAEB-77CD-4A64-9CCB-31A0C1805AE2}" name="Table2" displayName="Table2" ref="C19:G42" totalsRowShown="0" headerRowDxfId="47" dataDxfId="46" tableBorderDxfId="45">
  <autoFilter ref="C19:G42" xr:uid="{BB94902E-12DA-41EA-8E46-1BBB5E6AD451}">
    <filterColumn colId="0" hiddenButton="1"/>
    <filterColumn colId="1" hiddenButton="1"/>
    <filterColumn colId="2" hiddenButton="1"/>
    <filterColumn colId="3" hiddenButton="1"/>
    <filterColumn colId="4" hiddenButton="1"/>
  </autoFilter>
  <sortState xmlns:xlrd2="http://schemas.microsoft.com/office/spreadsheetml/2017/richdata2" ref="C20:G39">
    <sortCondition ref="C37:C39"/>
  </sortState>
  <tableColumns count="5">
    <tableColumn id="1" xr3:uid="{08490F59-1BCB-40C9-B9F0-4248D616CFAE}" name="Activity" dataDxfId="44"/>
    <tableColumn id="2" xr3:uid="{5B89D857-C2A2-4F65-B3F8-9F2D1DE39090}" name="QU" dataDxfId="43"/>
    <tableColumn id="3" xr3:uid="{9AAF7FCD-C560-4CA0-A8D9-E1A061F3C118}" name="Units" dataDxfId="42"/>
    <tableColumn id="4" xr3:uid="{58B1B8AA-2FB9-4700-8B5D-EECBFBB10503}" name="Price/Unit" dataDxfId="41"/>
    <tableColumn id="5" xr3:uid="{08F1BEEC-B0B3-41CD-8370-B04B2EDAEDBF}" name="Price" dataDxfId="40">
      <calculatedColumnFormula>IF(AND((C20&lt;&gt;""),(D20&lt;&gt;""),(E20&lt;&gt;""),(F20&lt;&gt;"")),(E20*F20),"")</calculatedColumnFormula>
    </tableColumn>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D60C757-CCA9-438E-9153-269AD4120F5B}" name="Tabulka4" displayName="Tabulka4" ref="C15:E16" totalsRowShown="0" headerRowDxfId="39" dataDxfId="38" tableBorderDxfId="37">
  <autoFilter ref="C15:E16" xr:uid="{7AFF13DE-B7FF-4CD5-BE86-88D32D656455}">
    <filterColumn colId="0" hiddenButton="1"/>
    <filterColumn colId="1" hiddenButton="1"/>
    <filterColumn colId="2" hiddenButton="1"/>
  </autoFilter>
  <tableColumns count="3">
    <tableColumn id="1" xr3:uid="{43CF8650-9145-40E9-B5E9-B1CC1EE8B470}" name="Location" dataDxfId="36">
      <calculatedColumnFormula>L8&amp;", "&amp;L9</calculatedColumnFormula>
    </tableColumn>
    <tableColumn id="2" xr3:uid="{054364DC-E0C5-4BDA-85C8-7185396FFC20}" name="Date" dataDxfId="35">
      <calculatedColumnFormula>G3</calculatedColumnFormula>
    </tableColumn>
    <tableColumn id="3" xr3:uid="{D84BF79B-09A1-414D-9498-4DC33518A947}" name="Execution deadline" dataDxfId="34">
      <calculatedColumnFormula>IF(L16=1,L16&amp;" working day",IF(AND(L16&gt;1,L16&lt;5),L16&amp;" working days",L16&amp;" working days"))</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04651C-CC52-44CA-AA99-03BD1D98CCBB}" name="Tabulka5" displayName="Tabulka5" ref="F56:G59" headerRowCount="0" totalsRowShown="0" headerRowDxfId="33" dataDxfId="32">
  <tableColumns count="2">
    <tableColumn id="1" xr3:uid="{CDC31601-BE8F-43F5-BF50-EC126EFA5C28}" name="Sloupec1" headerRowDxfId="31" dataDxfId="30"/>
    <tableColumn id="2" xr3:uid="{29B377D8-EB1D-47CF-9F2D-6290F1B57160}" name="Sloupec2" headerRowDxfId="29" dataDxfId="28"/>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7B06838-D093-45E4-BA18-7029F136E307}" name="Table14" displayName="Table14" ref="C46:G52" totalsRowShown="0" headerRowDxfId="27" dataDxfId="26" tableBorderDxfId="25">
  <autoFilter ref="C46:G52" xr:uid="{942EB7BC-32C6-4C0C-8DD3-76FB2AF3F5E8}">
    <filterColumn colId="0" hiddenButton="1"/>
    <filterColumn colId="1" hiddenButton="1"/>
    <filterColumn colId="2" hiddenButton="1"/>
    <filterColumn colId="3" hiddenButton="1"/>
    <filterColumn colId="4" hiddenButton="1"/>
  </autoFilter>
  <sortState xmlns:xlrd2="http://schemas.microsoft.com/office/spreadsheetml/2017/richdata2" ref="C47:G52">
    <sortCondition ref="C50:C52"/>
  </sortState>
  <tableColumns count="5">
    <tableColumn id="1" xr3:uid="{96DBDA59-3FA1-41B6-8A99-CF9EF1EB9975}" name="Purposefully incurred costs to be reimbursed" dataDxfId="24">
      <calculatedColumnFormula>IF(Offer!C47&lt;&gt;"",Offer!C47,"")</calculatedColumnFormula>
    </tableColumn>
    <tableColumn id="2" xr3:uid="{91028760-9E63-4723-A7FD-99E049E9A7C7}" name="QU" dataDxfId="23">
      <calculatedColumnFormula>Offer!D47</calculatedColumnFormula>
    </tableColumn>
    <tableColumn id="3" xr3:uid="{8F1EA90C-EB6E-48FE-BCA8-0E467828D362}" name="Units" dataDxfId="22">
      <calculatedColumnFormula>IF(Offer!E47&lt;&gt;"",Offer!E47,"")</calculatedColumnFormula>
    </tableColumn>
    <tableColumn id="4" xr3:uid="{9D26A95B-C0E8-48AF-93BF-3699723F1C2B}" name="Price/Unit" dataDxfId="21">
      <calculatedColumnFormula>IF(Offer!F47&lt;&gt;"",Offer!F47,"")</calculatedColumnFormula>
    </tableColumn>
    <tableColumn id="5" xr3:uid="{41197C6D-E92E-4D61-9BCB-5516FB0CD86D}" name="Price" dataDxfId="20">
      <calculatedColumnFormula>IF(AND((Offer!C47&lt;&gt;""),(Offer!D47&lt;&gt;""),(Offer!E47&lt;&gt;""),(Offer!F47&lt;&gt;"")),(Offer!E47*Offer!F47),"")</calculatedColumnFormula>
    </tableColumn>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C170B63-44F4-4A92-8CB6-FADC7BF9E64F}" name="Table27" displayName="Table27" ref="C19:G42" totalsRowShown="0" headerRowDxfId="19" dataDxfId="18" tableBorderDxfId="17">
  <autoFilter ref="C19:G42" xr:uid="{BB94902E-12DA-41EA-8E46-1BBB5E6AD451}">
    <filterColumn colId="0" hiddenButton="1"/>
    <filterColumn colId="1" hiddenButton="1"/>
    <filterColumn colId="2" hiddenButton="1"/>
    <filterColumn colId="3" hiddenButton="1"/>
    <filterColumn colId="4" hiddenButton="1"/>
  </autoFilter>
  <sortState xmlns:xlrd2="http://schemas.microsoft.com/office/spreadsheetml/2017/richdata2" ref="C20:G39">
    <sortCondition ref="C37:C39"/>
  </sortState>
  <tableColumns count="5">
    <tableColumn id="1" xr3:uid="{99D46102-1CEE-46C7-A593-B9298A846FE7}" name="Activity" dataDxfId="16">
      <calculatedColumnFormula>IF(Offer!C20&lt;&gt;"",Offer!C20,"")</calculatedColumnFormula>
    </tableColumn>
    <tableColumn id="2" xr3:uid="{8B7F672E-8579-496D-930E-876F9D0EF741}" name="QU" dataDxfId="15">
      <calculatedColumnFormula>IF(Offer!D20&lt;&gt;"",Offer!D20,"")</calculatedColumnFormula>
    </tableColumn>
    <tableColumn id="3" xr3:uid="{AD9764FA-B317-441F-BCA5-D95CEA276E09}" name="Units" dataDxfId="14">
      <calculatedColumnFormula>IF(Offer!E20&lt;&gt;"",Offer!E20,"")</calculatedColumnFormula>
    </tableColumn>
    <tableColumn id="4" xr3:uid="{732CB041-B89C-493C-9950-48702770C8D7}" name="Price/Unit" dataDxfId="13">
      <calculatedColumnFormula>IF(Offer!F20&lt;&gt;"",Offer!F20,"")</calculatedColumnFormula>
    </tableColumn>
    <tableColumn id="5" xr3:uid="{6567BF52-42A7-45A7-A1CB-A9ED2561DCFE}" name="Price" dataDxfId="12">
      <calculatedColumnFormula>IF(AND((Offer!C20&lt;&gt;""),(Offer!D20&lt;&gt;""),(Offer!E20&lt;&gt;""),(Offer!F20&lt;&gt;"")),(Offer!E20*Offer!F20),"")</calculatedColumnFormula>
    </tableColumn>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CCD2AD5-174B-4490-844C-7930FC50A4AF}" name="Tabulka48" displayName="Tabulka48" ref="C15:E16" totalsRowShown="0" headerRowDxfId="11" dataDxfId="10" tableBorderDxfId="9">
  <autoFilter ref="C15:E16" xr:uid="{7AFF13DE-B7FF-4CD5-BE86-88D32D656455}">
    <filterColumn colId="0" hiddenButton="1"/>
    <filterColumn colId="1" hiddenButton="1"/>
    <filterColumn colId="2" hiddenButton="1"/>
  </autoFilter>
  <tableColumns count="3">
    <tableColumn id="1" xr3:uid="{3C370905-273D-492F-A404-232FEC4A5ED7}" name="Location" dataDxfId="8">
      <calculatedColumnFormula>Offer!C16</calculatedColumnFormula>
    </tableColumn>
    <tableColumn id="2" xr3:uid="{3001C2C5-D289-44CD-8F38-2C4DEFEC243F}" name="Date" dataDxfId="7">
      <calculatedColumnFormula>Offer!G3</calculatedColumnFormula>
    </tableColumn>
    <tableColumn id="3" xr3:uid="{C2944152-FD76-40F7-8E88-0F4D38138988}" name="Execution deadline" dataDxfId="6">
      <calculatedColumnFormula>IF(Offer!L16=1,Offer!L16&amp;" working day",IF(AND(Offer!L16&gt;1,Offer!L16&lt;5),Offer!L16&amp;" working days",Offer!L16&amp;" working days"))</calculatedColumnFormula>
    </tableColumn>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368BDA6-AC54-4CE2-85D3-B00A11A896A7}" name="Tabulka59" displayName="Tabulka59" ref="F56:G57" headerRowCount="0" totalsRowShown="0" headerRowDxfId="5" dataDxfId="4">
  <tableColumns count="2">
    <tableColumn id="1" xr3:uid="{CDBF97CB-2714-4019-B3A3-68AA93B61809}" name="Sloupec1" headerRowDxfId="3" dataDxfId="2"/>
    <tableColumn id="2" xr3:uid="{B63C8BF0-DEE0-4120-9B6D-7B3F85C336BD}" name="Sloupec2" headerRowDxfId="1" dataDxfId="0">
      <calculatedColumnFormula>Offer!G55</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mailto:john.doe@does-incorporated.com" TargetMode="External"/><Relationship Id="rId7" Type="http://schemas.openxmlformats.org/officeDocument/2006/relationships/drawing" Target="../drawings/drawing1.xml"/><Relationship Id="rId2" Type="http://schemas.openxmlformats.org/officeDocument/2006/relationships/hyperlink" Target="mailto:peter.gingerbread@yahoo.com" TargetMode="External"/><Relationship Id="rId1" Type="http://schemas.openxmlformats.org/officeDocument/2006/relationships/hyperlink" Target="mailto:michal@kopl.pro" TargetMode="External"/><Relationship Id="rId6" Type="http://schemas.openxmlformats.org/officeDocument/2006/relationships/printerSettings" Target="../printerSettings/printerSettings1.bin"/><Relationship Id="rId11" Type="http://schemas.openxmlformats.org/officeDocument/2006/relationships/table" Target="../tables/table4.xml"/><Relationship Id="rId5" Type="http://schemas.openxmlformats.org/officeDocument/2006/relationships/hyperlink" Target="https://www.cnb.cz/en/payments/iban/iban-calculator-czech-republic/" TargetMode="External"/><Relationship Id="rId10" Type="http://schemas.openxmlformats.org/officeDocument/2006/relationships/table" Target="../tables/table3.xml"/><Relationship Id="rId4" Type="http://schemas.openxmlformats.org/officeDocument/2006/relationships/hyperlink" Target="https://www.johndoe.com/" TargetMode="External"/><Relationship Id="rId9"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table" Target="../tables/table8.xml"/><Relationship Id="rId2" Type="http://schemas.openxmlformats.org/officeDocument/2006/relationships/printerSettings" Target="../printerSettings/printerSettings2.bin"/><Relationship Id="rId1" Type="http://schemas.openxmlformats.org/officeDocument/2006/relationships/hyperlink" Target="mailto:michal@kopl.pro" TargetMode="External"/><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C277"/>
  <sheetViews>
    <sheetView tabSelected="1" zoomScaleNormal="100" zoomScalePageLayoutView="25" workbookViewId="0">
      <selection activeCell="L65" sqref="L65"/>
    </sheetView>
  </sheetViews>
  <sheetFormatPr defaultColWidth="9.140625" defaultRowHeight="14.25" x14ac:dyDescent="0.25"/>
  <cols>
    <col min="1" max="2" width="3.28515625" style="1" customWidth="1"/>
    <col min="3" max="3" width="77.5703125" style="1" bestFit="1" customWidth="1"/>
    <col min="4" max="4" width="13.28515625" style="1" customWidth="1"/>
    <col min="5" max="5" width="20.42578125" style="1" customWidth="1"/>
    <col min="6" max="6" width="13.42578125" style="1" bestFit="1" customWidth="1"/>
    <col min="7" max="7" width="15.7109375" style="1" customWidth="1"/>
    <col min="8" max="9" width="3.28515625" style="1" customWidth="1"/>
    <col min="10" max="11" width="9.140625" style="1"/>
    <col min="12" max="12" width="9.5703125" style="1" customWidth="1"/>
    <col min="13" max="13" width="32.7109375" style="1" bestFit="1" customWidth="1"/>
    <col min="14" max="14" width="2.140625" style="1" customWidth="1"/>
    <col min="15" max="15" width="24.28515625" style="1" customWidth="1"/>
    <col min="16" max="16" width="2.28515625" style="1" customWidth="1"/>
    <col min="17" max="19" width="9.140625" style="1"/>
    <col min="20" max="20" width="21.28515625" style="1" customWidth="1"/>
    <col min="21" max="25" width="9.140625" style="1"/>
    <col min="26" max="26" width="14.42578125" style="1" bestFit="1" customWidth="1"/>
    <col min="27" max="16384" width="9.140625" style="1"/>
  </cols>
  <sheetData>
    <row r="1" spans="1:26" ht="21" thickBot="1" x14ac:dyDescent="0.3">
      <c r="A1" s="21"/>
      <c r="B1" s="21"/>
      <c r="C1" s="21"/>
      <c r="D1" s="21"/>
      <c r="E1" s="21"/>
      <c r="F1" s="21"/>
      <c r="G1" s="21"/>
      <c r="H1" s="21"/>
      <c r="I1" s="21"/>
      <c r="L1" s="13" t="s">
        <v>28</v>
      </c>
      <c r="M1" s="13"/>
      <c r="N1" s="13"/>
      <c r="O1" s="13"/>
      <c r="P1" s="13"/>
    </row>
    <row r="2" spans="1:26" ht="21" customHeight="1" thickTop="1" x14ac:dyDescent="0.25">
      <c r="A2" s="21"/>
      <c r="B2" s="168" t="s">
        <v>30</v>
      </c>
      <c r="C2" s="168"/>
      <c r="D2" s="169"/>
      <c r="E2" s="176" t="s">
        <v>3</v>
      </c>
      <c r="F2" s="177"/>
      <c r="G2" s="22">
        <f ca="1">DATE(YEAR(TODAY()),MONTH(TODAY()),DAY(TODAY()))</f>
        <v>45074</v>
      </c>
      <c r="H2" s="23"/>
      <c r="I2" s="21"/>
      <c r="T2" s="17"/>
    </row>
    <row r="3" spans="1:26" ht="21" customHeight="1" x14ac:dyDescent="0.25">
      <c r="A3" s="21"/>
      <c r="B3" s="168"/>
      <c r="C3" s="168"/>
      <c r="D3" s="169"/>
      <c r="E3" s="174" t="s">
        <v>4</v>
      </c>
      <c r="F3" s="175"/>
      <c r="G3" s="25">
        <f ca="1">G2+30</f>
        <v>45104</v>
      </c>
      <c r="H3" s="26"/>
      <c r="I3" s="21"/>
      <c r="L3" s="1" t="s">
        <v>27</v>
      </c>
      <c r="T3" s="17"/>
    </row>
    <row r="4" spans="1:26" ht="15.75" customHeight="1" thickBot="1" x14ac:dyDescent="0.3">
      <c r="A4" s="21"/>
      <c r="B4" s="168"/>
      <c r="C4" s="168"/>
      <c r="D4" s="169"/>
      <c r="E4" s="178" t="str">
        <f>"Project name: "&amp;L5</f>
        <v>Project name: Gingerbread 2023</v>
      </c>
      <c r="F4" s="179"/>
      <c r="G4" s="179"/>
      <c r="H4" s="27"/>
      <c r="I4" s="21"/>
      <c r="L4" s="180" t="s">
        <v>25</v>
      </c>
      <c r="M4" s="180"/>
      <c r="N4" s="180"/>
      <c r="O4" s="180"/>
    </row>
    <row r="5" spans="1:26" ht="15" customHeight="1" thickTop="1" thickBot="1" x14ac:dyDescent="0.3">
      <c r="A5" s="21"/>
      <c r="B5" s="156" t="str">
        <f>"      The supplier:"</f>
        <v xml:space="preserve">      The supplier:</v>
      </c>
      <c r="C5" s="186"/>
      <c r="D5" s="156" t="str">
        <f>"      The customer:"</f>
        <v xml:space="preserve">      The customer:</v>
      </c>
      <c r="E5" s="157"/>
      <c r="F5" s="157"/>
      <c r="G5" s="157"/>
      <c r="H5" s="23"/>
      <c r="I5" s="21"/>
      <c r="L5" s="165" t="s">
        <v>50</v>
      </c>
      <c r="M5" s="166"/>
      <c r="N5" s="166"/>
      <c r="O5" s="167"/>
      <c r="Z5" s="5"/>
    </row>
    <row r="6" spans="1:26" ht="15" customHeight="1" thickTop="1" thickBot="1" x14ac:dyDescent="0.3">
      <c r="A6" s="21"/>
      <c r="B6" s="160" t="str">
        <f>"      "&amp;Q7</f>
        <v xml:space="preserve">      John Doe</v>
      </c>
      <c r="C6" s="161"/>
      <c r="D6" s="158" t="str">
        <f>"      "&amp;L7</f>
        <v xml:space="preserve">      Peter Gingerbread</v>
      </c>
      <c r="E6" s="159"/>
      <c r="F6" s="159"/>
      <c r="G6" s="159"/>
      <c r="H6" s="26"/>
      <c r="I6" s="21"/>
      <c r="L6" s="181" t="s">
        <v>26</v>
      </c>
      <c r="M6" s="181"/>
      <c r="N6" s="181"/>
      <c r="O6" s="181"/>
      <c r="Q6" s="183" t="s">
        <v>95</v>
      </c>
      <c r="R6" s="183"/>
      <c r="S6" s="183"/>
      <c r="T6" s="183"/>
    </row>
    <row r="7" spans="1:26" ht="15" customHeight="1" thickTop="1" x14ac:dyDescent="0.25">
      <c r="A7" s="21"/>
      <c r="B7" s="160" t="str">
        <f>"      "&amp;Q8&amp;", "&amp;Q9</f>
        <v xml:space="preserve">      Doe Road 1234/16, San Francisco - Inner city, CA, 902 10</v>
      </c>
      <c r="C7" s="161"/>
      <c r="D7" s="158" t="str">
        <f>"      "&amp;L8</f>
        <v xml:space="preserve">      Siemens road 2240/19</v>
      </c>
      <c r="E7" s="159"/>
      <c r="F7" s="159"/>
      <c r="G7" s="159"/>
      <c r="H7" s="26"/>
      <c r="I7" s="21"/>
      <c r="L7" s="152" t="s">
        <v>46</v>
      </c>
      <c r="M7" s="153"/>
      <c r="N7" s="153"/>
      <c r="O7" s="154"/>
      <c r="Q7" s="152" t="s">
        <v>90</v>
      </c>
      <c r="R7" s="153"/>
      <c r="S7" s="153"/>
      <c r="T7" s="154"/>
    </row>
    <row r="8" spans="1:26" ht="15" customHeight="1" x14ac:dyDescent="0.25">
      <c r="A8" s="21"/>
      <c r="B8" s="160" t="str">
        <f>"      "&amp;Q10&amp;"  /  "&amp;Q11</f>
        <v xml:space="preserve">      +1.999.999.999.999  /  john.doe@does-incorporated.com</v>
      </c>
      <c r="C8" s="161"/>
      <c r="D8" s="158" t="str">
        <f>"      "&amp;L9</f>
        <v xml:space="preserve">      Prague 5 - Stodulky, Czech Republic</v>
      </c>
      <c r="E8" s="159"/>
      <c r="F8" s="159"/>
      <c r="G8" s="159"/>
      <c r="H8" s="26"/>
      <c r="I8" s="21"/>
      <c r="L8" s="146" t="s">
        <v>47</v>
      </c>
      <c r="M8" s="147"/>
      <c r="N8" s="147"/>
      <c r="O8" s="148"/>
      <c r="Q8" s="146" t="s">
        <v>91</v>
      </c>
      <c r="R8" s="147"/>
      <c r="S8" s="147"/>
      <c r="T8" s="148"/>
    </row>
    <row r="9" spans="1:26" ht="15" customHeight="1" x14ac:dyDescent="0.25">
      <c r="A9" s="21"/>
      <c r="B9" s="160" t="str">
        <f>"      "&amp;"b.a.: "&amp;Q12&amp;"      IBAN: "&amp;Q13</f>
        <v xml:space="preserve">      b.a.: 670100-2200921129/6210      IBAN: CZ2062106701002200921129</v>
      </c>
      <c r="C9" s="161"/>
      <c r="D9" s="158" t="str">
        <f>"      "&amp;"tel.: "&amp;L10</f>
        <v xml:space="preserve">      tel.: +420.222.111.333</v>
      </c>
      <c r="E9" s="159"/>
      <c r="F9" s="159"/>
      <c r="G9" s="159"/>
      <c r="H9" s="26"/>
      <c r="I9" s="21"/>
      <c r="L9" s="162" t="s">
        <v>48</v>
      </c>
      <c r="M9" s="163"/>
      <c r="N9" s="163"/>
      <c r="O9" s="164"/>
      <c r="P9" s="10"/>
      <c r="Q9" s="146" t="s">
        <v>94</v>
      </c>
      <c r="R9" s="147"/>
      <c r="S9" s="147"/>
      <c r="T9" s="148"/>
    </row>
    <row r="10" spans="1:26" ht="15" customHeight="1" x14ac:dyDescent="0.25">
      <c r="A10" s="21"/>
      <c r="B10" s="160" t="str">
        <f>"      "&amp;Q14</f>
        <v xml:space="preserve">      https://www.johndoe.com</v>
      </c>
      <c r="C10" s="161"/>
      <c r="D10" s="184" t="str">
        <f>"      "&amp;"e-mail: "&amp;L11</f>
        <v xml:space="preserve">      e-mail: peter.gingerbread@yahoo.com</v>
      </c>
      <c r="E10" s="185"/>
      <c r="F10" s="185"/>
      <c r="G10" s="185"/>
      <c r="H10" s="26"/>
      <c r="I10" s="21"/>
      <c r="L10" s="146" t="str">
        <f>"+420.222.111.333"</f>
        <v>+420.222.111.333</v>
      </c>
      <c r="M10" s="147"/>
      <c r="N10" s="147"/>
      <c r="O10" s="148"/>
      <c r="Q10" s="146" t="str">
        <f>"+1.999.999.999.999"</f>
        <v>+1.999.999.999.999</v>
      </c>
      <c r="R10" s="147"/>
      <c r="S10" s="147"/>
      <c r="T10" s="148"/>
    </row>
    <row r="11" spans="1:26" ht="15" customHeight="1" thickBot="1" x14ac:dyDescent="0.3">
      <c r="A11" s="21"/>
      <c r="B11" s="31"/>
      <c r="C11" s="20"/>
      <c r="D11" s="28"/>
      <c r="E11" s="21"/>
      <c r="F11" s="32"/>
      <c r="G11" s="32"/>
      <c r="H11" s="26"/>
      <c r="I11" s="21"/>
      <c r="L11" s="149" t="s">
        <v>49</v>
      </c>
      <c r="M11" s="150"/>
      <c r="N11" s="150"/>
      <c r="O11" s="151"/>
      <c r="Q11" s="155" t="s">
        <v>92</v>
      </c>
      <c r="R11" s="147"/>
      <c r="S11" s="147"/>
      <c r="T11" s="148"/>
    </row>
    <row r="12" spans="1:26" ht="15" customHeight="1" thickTop="1" x14ac:dyDescent="0.25">
      <c r="A12" s="21"/>
      <c r="B12" s="33"/>
      <c r="C12" s="34"/>
      <c r="D12" s="35"/>
      <c r="E12" s="35"/>
      <c r="F12" s="36"/>
      <c r="G12" s="36"/>
      <c r="H12" s="23"/>
      <c r="I12" s="21"/>
      <c r="Q12" s="146" t="s">
        <v>1</v>
      </c>
      <c r="R12" s="147"/>
      <c r="S12" s="147"/>
      <c r="T12" s="148"/>
    </row>
    <row r="13" spans="1:26" ht="15" customHeight="1" x14ac:dyDescent="0.25">
      <c r="A13" s="21"/>
      <c r="B13" s="28"/>
      <c r="C13" s="24"/>
      <c r="D13" s="30"/>
      <c r="E13" s="30"/>
      <c r="F13" s="32"/>
      <c r="G13" s="32"/>
      <c r="H13" s="26"/>
      <c r="I13" s="21"/>
      <c r="Q13" s="146" t="s">
        <v>2</v>
      </c>
      <c r="R13" s="147"/>
      <c r="S13" s="147"/>
      <c r="T13" s="148"/>
      <c r="U13" s="19" t="s">
        <v>24</v>
      </c>
    </row>
    <row r="14" spans="1:26" ht="15" customHeight="1" thickBot="1" x14ac:dyDescent="0.3">
      <c r="A14" s="21"/>
      <c r="B14" s="28"/>
      <c r="C14" s="21"/>
      <c r="D14" s="37"/>
      <c r="E14" s="29"/>
      <c r="F14" s="32"/>
      <c r="G14" s="32"/>
      <c r="H14" s="26"/>
      <c r="I14" s="21"/>
      <c r="Q14" s="149" t="s">
        <v>93</v>
      </c>
      <c r="R14" s="150"/>
      <c r="S14" s="150"/>
      <c r="T14" s="151"/>
    </row>
    <row r="15" spans="1:26" ht="15" customHeight="1" thickTop="1" thickBot="1" x14ac:dyDescent="0.3">
      <c r="A15" s="21"/>
      <c r="B15" s="28"/>
      <c r="C15" s="38" t="s">
        <v>5</v>
      </c>
      <c r="D15" s="39" t="s">
        <v>6</v>
      </c>
      <c r="E15" s="40" t="s">
        <v>7</v>
      </c>
      <c r="F15" s="41"/>
      <c r="G15" s="32"/>
      <c r="H15" s="26"/>
      <c r="I15" s="21"/>
      <c r="L15" s="11"/>
      <c r="T15" s="6"/>
    </row>
    <row r="16" spans="1:26" ht="15" customHeight="1" thickTop="1" thickBot="1" x14ac:dyDescent="0.3">
      <c r="A16" s="21"/>
      <c r="B16" s="28"/>
      <c r="C16" s="77" t="str">
        <f>L8&amp;", "&amp;L9</f>
        <v>Siemens road 2240/19, Prague 5 - Stodulky, Czech Republic</v>
      </c>
      <c r="D16" s="42">
        <f ca="1">G3</f>
        <v>45104</v>
      </c>
      <c r="E16" s="43" t="str">
        <f>IF(L16=1,L16&amp;" working day",IF(AND(L16&gt;1,L16&lt;5),L16&amp;" working days",L16&amp;" working days"))</f>
        <v>30 working days</v>
      </c>
      <c r="F16" s="44"/>
      <c r="G16" s="32"/>
      <c r="H16" s="26"/>
      <c r="I16" s="21"/>
      <c r="L16" s="114">
        <v>30</v>
      </c>
      <c r="M16" s="11" t="s">
        <v>29</v>
      </c>
      <c r="T16" s="6"/>
    </row>
    <row r="17" spans="1:23" ht="15" customHeight="1" thickTop="1" x14ac:dyDescent="0.25">
      <c r="A17" s="21"/>
      <c r="B17" s="28"/>
      <c r="C17" s="21"/>
      <c r="D17" s="45"/>
      <c r="E17" s="29"/>
      <c r="F17" s="32"/>
      <c r="G17" s="32"/>
      <c r="H17" s="26"/>
      <c r="I17" s="21"/>
      <c r="T17" s="7"/>
    </row>
    <row r="18" spans="1:23" ht="15" customHeight="1" x14ac:dyDescent="0.25">
      <c r="A18" s="21"/>
      <c r="B18" s="28"/>
      <c r="C18" s="38"/>
      <c r="D18" s="38"/>
      <c r="E18" s="46"/>
      <c r="F18" s="32"/>
      <c r="G18" s="32"/>
      <c r="H18" s="26"/>
      <c r="I18" s="21"/>
    </row>
    <row r="19" spans="1:23" ht="15" customHeight="1" x14ac:dyDescent="0.25">
      <c r="A19" s="21"/>
      <c r="B19" s="28"/>
      <c r="C19" s="21" t="s">
        <v>8</v>
      </c>
      <c r="D19" s="47" t="s">
        <v>9</v>
      </c>
      <c r="E19" s="43" t="s">
        <v>10</v>
      </c>
      <c r="F19" s="48" t="s">
        <v>11</v>
      </c>
      <c r="G19" s="48" t="s">
        <v>12</v>
      </c>
      <c r="H19" s="49"/>
      <c r="I19" s="21"/>
      <c r="L19" s="11" t="s">
        <v>31</v>
      </c>
    </row>
    <row r="20" spans="1:23" ht="15" customHeight="1" x14ac:dyDescent="0.25">
      <c r="A20" s="21"/>
      <c r="B20" s="28"/>
      <c r="C20" s="117" t="s">
        <v>67</v>
      </c>
      <c r="D20" s="118" t="s">
        <v>52</v>
      </c>
      <c r="E20" s="118">
        <v>1</v>
      </c>
      <c r="F20" s="119">
        <v>2.3562676720075402</v>
      </c>
      <c r="G20" s="76">
        <f t="shared" ref="G20:G39" si="0">IF(AND((C20&lt;&gt;""),(D20&lt;&gt;""),(E20&lt;&gt;""),(F20&lt;&gt;"")),(E20*F20),"")</f>
        <v>2.3562676720075402</v>
      </c>
      <c r="H20" s="49"/>
      <c r="I20" s="21"/>
      <c r="L20" s="1" t="s">
        <v>32</v>
      </c>
      <c r="M20" s="8"/>
      <c r="W20" s="74"/>
    </row>
    <row r="21" spans="1:23" ht="15" customHeight="1" x14ac:dyDescent="0.25">
      <c r="A21" s="21"/>
      <c r="B21" s="28"/>
      <c r="C21" s="117" t="s">
        <v>68</v>
      </c>
      <c r="D21" s="118" t="s">
        <v>53</v>
      </c>
      <c r="E21" s="118">
        <v>3</v>
      </c>
      <c r="F21" s="119">
        <v>9.4250706880301607</v>
      </c>
      <c r="G21" s="76">
        <f t="shared" si="0"/>
        <v>28.275212064090482</v>
      </c>
      <c r="H21" s="49"/>
      <c r="I21" s="21"/>
      <c r="L21" s="1" t="s">
        <v>33</v>
      </c>
      <c r="M21" s="8"/>
      <c r="W21" s="74"/>
    </row>
    <row r="22" spans="1:23" ht="15" customHeight="1" x14ac:dyDescent="0.25">
      <c r="A22" s="21"/>
      <c r="B22" s="28"/>
      <c r="C22" s="117" t="s">
        <v>69</v>
      </c>
      <c r="D22" s="118" t="s">
        <v>54</v>
      </c>
      <c r="E22" s="118">
        <v>2</v>
      </c>
      <c r="F22" s="119">
        <v>9.4250706880301607</v>
      </c>
      <c r="G22" s="76">
        <f t="shared" si="0"/>
        <v>18.850141376060321</v>
      </c>
      <c r="H22" s="49"/>
      <c r="I22" s="21"/>
      <c r="L22" s="11" t="s">
        <v>34</v>
      </c>
      <c r="M22" s="8"/>
      <c r="W22" s="74"/>
    </row>
    <row r="23" spans="1:23" ht="15" customHeight="1" x14ac:dyDescent="0.25">
      <c r="A23" s="21"/>
      <c r="B23" s="28"/>
      <c r="C23" s="117" t="s">
        <v>70</v>
      </c>
      <c r="D23" s="118" t="s">
        <v>55</v>
      </c>
      <c r="E23" s="118">
        <v>1</v>
      </c>
      <c r="F23" s="119">
        <v>0.94250706880301605</v>
      </c>
      <c r="G23" s="76">
        <f t="shared" si="0"/>
        <v>0.94250706880301605</v>
      </c>
      <c r="H23" s="49"/>
      <c r="I23" s="21"/>
      <c r="M23" s="8"/>
      <c r="W23" s="74"/>
    </row>
    <row r="24" spans="1:23" ht="15" customHeight="1" x14ac:dyDescent="0.25">
      <c r="A24" s="21"/>
      <c r="B24" s="28"/>
      <c r="C24" s="117" t="s">
        <v>71</v>
      </c>
      <c r="D24" s="118" t="s">
        <v>56</v>
      </c>
      <c r="E24" s="118">
        <v>1</v>
      </c>
      <c r="F24" s="119">
        <v>23.562676720075402</v>
      </c>
      <c r="G24" s="76">
        <f t="shared" si="0"/>
        <v>23.562676720075402</v>
      </c>
      <c r="H24" s="49"/>
      <c r="I24" s="21"/>
      <c r="L24" s="11" t="s">
        <v>35</v>
      </c>
      <c r="M24" s="8"/>
      <c r="W24" s="74"/>
    </row>
    <row r="25" spans="1:23" ht="15" customHeight="1" x14ac:dyDescent="0.25">
      <c r="A25" s="21"/>
      <c r="B25" s="28"/>
      <c r="C25" s="117" t="s">
        <v>72</v>
      </c>
      <c r="D25" s="118" t="s">
        <v>57</v>
      </c>
      <c r="E25" s="118">
        <v>1</v>
      </c>
      <c r="F25" s="119">
        <v>7.0688030160226205</v>
      </c>
      <c r="G25" s="76">
        <f t="shared" si="0"/>
        <v>7.0688030160226205</v>
      </c>
      <c r="H25" s="49"/>
      <c r="I25" s="21"/>
      <c r="M25" s="8"/>
      <c r="W25" s="74"/>
    </row>
    <row r="26" spans="1:23" ht="15" customHeight="1" x14ac:dyDescent="0.25">
      <c r="A26" s="21"/>
      <c r="B26" s="28"/>
      <c r="C26" s="117" t="s">
        <v>73</v>
      </c>
      <c r="D26" s="118" t="s">
        <v>53</v>
      </c>
      <c r="E26" s="118">
        <v>1</v>
      </c>
      <c r="F26" s="119">
        <v>9.4250706880301607</v>
      </c>
      <c r="G26" s="76">
        <f t="shared" si="0"/>
        <v>9.4250706880301607</v>
      </c>
      <c r="H26" s="49"/>
      <c r="I26" s="21"/>
      <c r="M26" s="8"/>
      <c r="O26" s="182" t="s">
        <v>37</v>
      </c>
      <c r="P26" s="182"/>
      <c r="Q26" s="182"/>
      <c r="R26" s="182"/>
      <c r="S26" s="182"/>
      <c r="T26" s="182"/>
      <c r="W26" s="74"/>
    </row>
    <row r="27" spans="1:23" ht="15" customHeight="1" x14ac:dyDescent="0.25">
      <c r="A27" s="21"/>
      <c r="B27" s="28"/>
      <c r="C27" s="117" t="s">
        <v>74</v>
      </c>
      <c r="D27" s="118" t="s">
        <v>58</v>
      </c>
      <c r="E27" s="118">
        <v>1</v>
      </c>
      <c r="F27" s="119">
        <v>4.7125353440150803</v>
      </c>
      <c r="G27" s="76">
        <f t="shared" si="0"/>
        <v>4.7125353440150803</v>
      </c>
      <c r="H27" s="49"/>
      <c r="I27" s="21"/>
      <c r="M27" s="8"/>
      <c r="O27" s="182"/>
      <c r="P27" s="182"/>
      <c r="Q27" s="182"/>
      <c r="R27" s="182"/>
      <c r="S27" s="182"/>
      <c r="T27" s="182"/>
      <c r="W27" s="74"/>
    </row>
    <row r="28" spans="1:23" ht="15" customHeight="1" x14ac:dyDescent="0.25">
      <c r="A28" s="21"/>
      <c r="B28" s="28"/>
      <c r="C28" s="120" t="s">
        <v>75</v>
      </c>
      <c r="D28" s="118" t="s">
        <v>59</v>
      </c>
      <c r="E28" s="118">
        <v>1</v>
      </c>
      <c r="F28" s="119">
        <v>23.562676720075402</v>
      </c>
      <c r="G28" s="76">
        <f t="shared" si="0"/>
        <v>23.562676720075402</v>
      </c>
      <c r="H28" s="49"/>
      <c r="I28" s="21"/>
      <c r="M28" s="8"/>
      <c r="O28" s="182"/>
      <c r="P28" s="182"/>
      <c r="Q28" s="182"/>
      <c r="R28" s="182"/>
      <c r="S28" s="182"/>
      <c r="T28" s="182"/>
      <c r="W28" s="74"/>
    </row>
    <row r="29" spans="1:23" ht="15" customHeight="1" x14ac:dyDescent="0.25">
      <c r="A29" s="21"/>
      <c r="B29" s="28"/>
      <c r="C29" s="117" t="s">
        <v>77</v>
      </c>
      <c r="D29" s="118" t="s">
        <v>78</v>
      </c>
      <c r="E29" s="118">
        <v>1</v>
      </c>
      <c r="F29" s="119">
        <v>4.7125353440150803</v>
      </c>
      <c r="G29" s="76">
        <f t="shared" si="0"/>
        <v>4.7125353440150803</v>
      </c>
      <c r="H29" s="49"/>
      <c r="I29" s="21"/>
      <c r="M29" s="8"/>
      <c r="O29" s="182"/>
      <c r="P29" s="182"/>
      <c r="Q29" s="182"/>
      <c r="R29" s="182"/>
      <c r="S29" s="182"/>
      <c r="T29" s="182"/>
      <c r="W29" s="74"/>
    </row>
    <row r="30" spans="1:23" ht="15" customHeight="1" x14ac:dyDescent="0.25">
      <c r="A30" s="21"/>
      <c r="B30" s="28"/>
      <c r="C30" s="117" t="s">
        <v>76</v>
      </c>
      <c r="D30" s="118" t="s">
        <v>60</v>
      </c>
      <c r="E30" s="118">
        <v>8</v>
      </c>
      <c r="F30" s="119">
        <v>4.8317624882186623</v>
      </c>
      <c r="G30" s="76">
        <f t="shared" si="0"/>
        <v>38.654099905749298</v>
      </c>
      <c r="H30" s="49"/>
      <c r="I30" s="21"/>
      <c r="M30" s="8"/>
      <c r="O30" s="182"/>
      <c r="P30" s="182"/>
      <c r="Q30" s="182"/>
      <c r="R30" s="182"/>
      <c r="S30" s="182"/>
      <c r="T30" s="182"/>
      <c r="W30" s="74"/>
    </row>
    <row r="31" spans="1:23" ht="15" customHeight="1" x14ac:dyDescent="0.25">
      <c r="A31" s="21"/>
      <c r="B31" s="28"/>
      <c r="C31" s="117" t="s">
        <v>79</v>
      </c>
      <c r="D31" s="118" t="s">
        <v>61</v>
      </c>
      <c r="E31" s="118">
        <v>36</v>
      </c>
      <c r="F31" s="119">
        <v>2.3562676720075402</v>
      </c>
      <c r="G31" s="76">
        <f t="shared" si="0"/>
        <v>84.825636192271446</v>
      </c>
      <c r="H31" s="49"/>
      <c r="I31" s="21"/>
      <c r="L31" s="82"/>
      <c r="M31" s="82"/>
      <c r="N31" s="82"/>
      <c r="O31" s="182"/>
      <c r="P31" s="182"/>
      <c r="Q31" s="182"/>
      <c r="R31" s="182"/>
      <c r="S31" s="182"/>
      <c r="T31" s="182"/>
      <c r="W31" s="74"/>
    </row>
    <row r="32" spans="1:23" ht="15" customHeight="1" x14ac:dyDescent="0.25">
      <c r="A32" s="21"/>
      <c r="B32" s="28"/>
      <c r="C32" s="117" t="s">
        <v>80</v>
      </c>
      <c r="D32" s="118" t="s">
        <v>62</v>
      </c>
      <c r="E32" s="118">
        <v>4</v>
      </c>
      <c r="F32" s="119">
        <v>4.7125353440150803</v>
      </c>
      <c r="G32" s="76">
        <f t="shared" si="0"/>
        <v>18.850141376060321</v>
      </c>
      <c r="H32" s="49"/>
      <c r="I32" s="21"/>
      <c r="L32" s="82"/>
      <c r="M32" s="82" t="s">
        <v>109</v>
      </c>
      <c r="N32" s="82"/>
      <c r="O32" s="182"/>
      <c r="P32" s="182"/>
      <c r="Q32" s="182"/>
      <c r="R32" s="182"/>
      <c r="S32" s="182"/>
      <c r="T32" s="182"/>
      <c r="W32" s="74"/>
    </row>
    <row r="33" spans="1:23" ht="15" customHeight="1" x14ac:dyDescent="0.25">
      <c r="A33" s="21"/>
      <c r="B33" s="28"/>
      <c r="C33" s="117" t="s">
        <v>81</v>
      </c>
      <c r="D33" s="118" t="s">
        <v>63</v>
      </c>
      <c r="E33" s="118">
        <v>20</v>
      </c>
      <c r="F33" s="119">
        <v>0.23562676720075401</v>
      </c>
      <c r="G33" s="76">
        <f t="shared" si="0"/>
        <v>4.7125353440150803</v>
      </c>
      <c r="H33" s="49"/>
      <c r="I33" s="21"/>
      <c r="L33" s="82"/>
      <c r="M33" s="82"/>
      <c r="N33" s="82"/>
      <c r="O33" s="182"/>
      <c r="P33" s="182"/>
      <c r="Q33" s="182"/>
      <c r="R33" s="182"/>
      <c r="S33" s="182"/>
      <c r="T33" s="182"/>
      <c r="W33" s="74"/>
    </row>
    <row r="34" spans="1:23" ht="15" customHeight="1" x14ac:dyDescent="0.25">
      <c r="A34" s="21"/>
      <c r="B34" s="28"/>
      <c r="C34" s="117" t="s">
        <v>82</v>
      </c>
      <c r="D34" s="118" t="s">
        <v>64</v>
      </c>
      <c r="E34" s="118">
        <v>20</v>
      </c>
      <c r="F34" s="119">
        <v>9.4250706880301607</v>
      </c>
      <c r="G34" s="76">
        <f t="shared" si="0"/>
        <v>188.50141376060321</v>
      </c>
      <c r="H34" s="49"/>
      <c r="I34" s="21"/>
      <c r="L34" s="82"/>
      <c r="M34" s="82"/>
      <c r="N34" s="82"/>
      <c r="O34" s="82"/>
      <c r="P34" s="82"/>
      <c r="Q34" s="82"/>
      <c r="R34" s="82"/>
      <c r="S34" s="82"/>
      <c r="T34" s="82"/>
      <c r="W34" s="74"/>
    </row>
    <row r="35" spans="1:23" ht="15" customHeight="1" x14ac:dyDescent="0.25">
      <c r="A35" s="21"/>
      <c r="B35" s="28"/>
      <c r="C35" s="117" t="s">
        <v>83</v>
      </c>
      <c r="D35" s="118" t="s">
        <v>51</v>
      </c>
      <c r="E35" s="118">
        <v>1</v>
      </c>
      <c r="F35" s="119">
        <v>0.47125353440150802</v>
      </c>
      <c r="G35" s="76">
        <f t="shared" si="0"/>
        <v>0.47125353440150802</v>
      </c>
      <c r="H35" s="49"/>
      <c r="I35" s="21"/>
      <c r="L35" s="82"/>
      <c r="M35" s="82"/>
      <c r="N35" s="82"/>
      <c r="O35" s="82"/>
      <c r="P35" s="82"/>
      <c r="Q35" s="82"/>
      <c r="R35" s="82"/>
      <c r="S35" s="82"/>
      <c r="T35" s="82"/>
      <c r="W35" s="74"/>
    </row>
    <row r="36" spans="1:23" ht="15" customHeight="1" x14ac:dyDescent="0.25">
      <c r="A36" s="21"/>
      <c r="B36" s="28"/>
      <c r="C36" s="117"/>
      <c r="D36" s="118"/>
      <c r="E36" s="118"/>
      <c r="F36" s="119"/>
      <c r="G36" s="76" t="str">
        <f t="shared" si="0"/>
        <v/>
      </c>
      <c r="H36" s="49"/>
      <c r="I36" s="21"/>
      <c r="L36" s="82"/>
      <c r="M36" s="82"/>
      <c r="N36" s="82"/>
      <c r="O36" s="82"/>
      <c r="P36" s="82"/>
      <c r="Q36" s="82"/>
      <c r="R36" s="82"/>
      <c r="S36" s="82"/>
      <c r="T36" s="82"/>
      <c r="W36" s="74"/>
    </row>
    <row r="37" spans="1:23" ht="15" customHeight="1" x14ac:dyDescent="0.25">
      <c r="A37" s="21"/>
      <c r="B37" s="28"/>
      <c r="C37" s="117"/>
      <c r="D37" s="118"/>
      <c r="E37" s="118"/>
      <c r="F37" s="119"/>
      <c r="G37" s="76" t="str">
        <f t="shared" si="0"/>
        <v/>
      </c>
      <c r="H37" s="49"/>
      <c r="I37" s="21"/>
      <c r="L37" s="82"/>
      <c r="M37" s="82"/>
      <c r="N37" s="82"/>
      <c r="O37" s="82"/>
      <c r="P37" s="82"/>
      <c r="Q37" s="82"/>
      <c r="R37" s="82"/>
      <c r="S37" s="82"/>
      <c r="T37" s="82"/>
      <c r="W37" s="74"/>
    </row>
    <row r="38" spans="1:23" ht="15" customHeight="1" x14ac:dyDescent="0.25">
      <c r="A38" s="21"/>
      <c r="B38" s="28"/>
      <c r="C38" s="117"/>
      <c r="D38" s="118"/>
      <c r="E38" s="118"/>
      <c r="F38" s="119"/>
      <c r="G38" s="76" t="str">
        <f t="shared" si="0"/>
        <v/>
      </c>
      <c r="H38" s="49"/>
      <c r="I38" s="21"/>
      <c r="L38" s="82"/>
      <c r="M38" s="82"/>
      <c r="N38" s="82"/>
      <c r="O38" s="82"/>
      <c r="P38" s="82"/>
      <c r="Q38" s="82"/>
      <c r="R38" s="82"/>
      <c r="S38" s="82"/>
      <c r="T38" s="82"/>
      <c r="W38" s="74"/>
    </row>
    <row r="39" spans="1:23" ht="15" customHeight="1" x14ac:dyDescent="0.25">
      <c r="A39" s="21"/>
      <c r="B39" s="28"/>
      <c r="C39" s="117"/>
      <c r="D39" s="118"/>
      <c r="E39" s="118"/>
      <c r="F39" s="119"/>
      <c r="G39" s="76" t="str">
        <f t="shared" si="0"/>
        <v/>
      </c>
      <c r="H39" s="49"/>
      <c r="I39" s="21"/>
      <c r="M39" s="8"/>
      <c r="W39" s="74"/>
    </row>
    <row r="40" spans="1:23" ht="15" customHeight="1" x14ac:dyDescent="0.25">
      <c r="A40" s="21"/>
      <c r="B40" s="28"/>
      <c r="C40" s="117"/>
      <c r="D40" s="118"/>
      <c r="E40" s="118"/>
      <c r="F40" s="119"/>
      <c r="G40" s="76" t="str">
        <f t="shared" ref="G40:G42" si="1">IF(AND((C40&lt;&gt;""),(D40&lt;&gt;""),(E40&lt;&gt;""),(F40&lt;&gt;"")),(E40*F40),"")</f>
        <v/>
      </c>
      <c r="H40" s="49"/>
      <c r="I40" s="21"/>
      <c r="L40" s="18" t="s">
        <v>36</v>
      </c>
      <c r="W40" s="74"/>
    </row>
    <row r="41" spans="1:23" ht="15" customHeight="1" x14ac:dyDescent="0.25">
      <c r="A41" s="21"/>
      <c r="B41" s="28"/>
      <c r="C41" s="117"/>
      <c r="D41" s="118"/>
      <c r="E41" s="118"/>
      <c r="F41" s="119"/>
      <c r="G41" s="76" t="str">
        <f t="shared" si="1"/>
        <v/>
      </c>
      <c r="H41" s="49"/>
      <c r="I41" s="21"/>
      <c r="W41" s="74"/>
    </row>
    <row r="42" spans="1:23" ht="15" customHeight="1" x14ac:dyDescent="0.25">
      <c r="A42" s="21"/>
      <c r="B42" s="28"/>
      <c r="C42" s="117"/>
      <c r="D42" s="118"/>
      <c r="E42" s="118"/>
      <c r="F42" s="119"/>
      <c r="G42" s="76" t="str">
        <f t="shared" si="1"/>
        <v/>
      </c>
      <c r="H42" s="50"/>
      <c r="I42" s="21"/>
      <c r="W42" s="74"/>
    </row>
    <row r="43" spans="1:23" ht="15" customHeight="1" thickBot="1" x14ac:dyDescent="0.3">
      <c r="A43" s="21"/>
      <c r="B43" s="28"/>
      <c r="C43" s="21"/>
      <c r="D43" s="21"/>
      <c r="E43" s="170" t="s">
        <v>14</v>
      </c>
      <c r="F43" s="171"/>
      <c r="G43" s="92">
        <f>SUM(G20:G42)</f>
        <v>459.48350612629594</v>
      </c>
      <c r="H43" s="49"/>
      <c r="I43" s="21"/>
      <c r="L43" s="11" t="s">
        <v>38</v>
      </c>
      <c r="W43" s="74"/>
    </row>
    <row r="44" spans="1:23" ht="15" customHeight="1" x14ac:dyDescent="0.25">
      <c r="A44" s="21"/>
      <c r="B44" s="28"/>
      <c r="C44" s="21"/>
      <c r="D44" s="21"/>
      <c r="E44" s="51"/>
      <c r="F44" s="51"/>
      <c r="G44" s="52"/>
      <c r="H44" s="49"/>
      <c r="I44" s="21"/>
      <c r="L44" s="1" t="s">
        <v>32</v>
      </c>
      <c r="M44" s="8"/>
      <c r="W44" s="74"/>
    </row>
    <row r="45" spans="1:23" ht="15" customHeight="1" x14ac:dyDescent="0.25">
      <c r="A45" s="21"/>
      <c r="B45" s="28"/>
      <c r="C45" s="21"/>
      <c r="D45" s="21"/>
      <c r="E45" s="46"/>
      <c r="F45" s="53"/>
      <c r="G45" s="53"/>
      <c r="H45" s="49"/>
      <c r="I45" s="21"/>
      <c r="L45" s="1" t="s">
        <v>33</v>
      </c>
      <c r="M45" s="8"/>
      <c r="W45" s="74"/>
    </row>
    <row r="46" spans="1:23" ht="15" customHeight="1" x14ac:dyDescent="0.25">
      <c r="A46" s="21"/>
      <c r="B46" s="28"/>
      <c r="C46" s="21" t="s">
        <v>13</v>
      </c>
      <c r="D46" s="47" t="s">
        <v>9</v>
      </c>
      <c r="E46" s="40" t="s">
        <v>10</v>
      </c>
      <c r="F46" s="48" t="s">
        <v>11</v>
      </c>
      <c r="G46" s="48" t="s">
        <v>12</v>
      </c>
      <c r="H46" s="49"/>
      <c r="I46" s="21"/>
      <c r="L46" s="12" t="s">
        <v>39</v>
      </c>
      <c r="M46" s="8"/>
      <c r="W46" s="74"/>
    </row>
    <row r="47" spans="1:23" ht="15" customHeight="1" x14ac:dyDescent="0.25">
      <c r="A47" s="21"/>
      <c r="B47" s="28"/>
      <c r="C47" s="120" t="s">
        <v>22</v>
      </c>
      <c r="D47" s="118" t="s">
        <v>65</v>
      </c>
      <c r="E47" s="118">
        <v>1</v>
      </c>
      <c r="F47" s="119">
        <v>36.217247879359093</v>
      </c>
      <c r="G47" s="76">
        <f t="shared" ref="G47:G52" si="2">IF(AND((C47&lt;&gt;""),(D47&lt;&gt;""),(E47&lt;&gt;""),(F47&lt;&gt;"")),(E47*F47),"")</f>
        <v>36.217247879359093</v>
      </c>
      <c r="H47" s="49"/>
      <c r="I47" s="21"/>
      <c r="L47" s="11" t="s">
        <v>40</v>
      </c>
      <c r="M47" s="8"/>
      <c r="W47" s="74"/>
    </row>
    <row r="48" spans="1:23" ht="15" customHeight="1" x14ac:dyDescent="0.25">
      <c r="A48" s="21"/>
      <c r="B48" s="28"/>
      <c r="C48" s="120" t="s">
        <v>23</v>
      </c>
      <c r="D48" s="118" t="s">
        <v>66</v>
      </c>
      <c r="E48" s="118">
        <v>1</v>
      </c>
      <c r="F48" s="119">
        <v>58.906691800188504</v>
      </c>
      <c r="G48" s="76">
        <f t="shared" si="2"/>
        <v>58.906691800188504</v>
      </c>
      <c r="H48" s="49"/>
      <c r="I48" s="21"/>
      <c r="W48" s="74"/>
    </row>
    <row r="49" spans="1:81" ht="15" customHeight="1" x14ac:dyDescent="0.25">
      <c r="A49" s="21"/>
      <c r="B49" s="28"/>
      <c r="C49" s="120" t="s">
        <v>100</v>
      </c>
      <c r="D49" s="118" t="s">
        <v>101</v>
      </c>
      <c r="E49" s="118">
        <v>1</v>
      </c>
      <c r="F49" s="119">
        <v>8.9</v>
      </c>
      <c r="G49" s="76">
        <f t="shared" si="2"/>
        <v>8.9</v>
      </c>
      <c r="H49" s="49"/>
      <c r="I49" s="21"/>
      <c r="W49" s="74"/>
    </row>
    <row r="50" spans="1:81" ht="15" customHeight="1" x14ac:dyDescent="0.25">
      <c r="A50" s="21"/>
      <c r="B50" s="28"/>
      <c r="C50" s="120"/>
      <c r="D50" s="118"/>
      <c r="E50" s="118"/>
      <c r="F50" s="119"/>
      <c r="G50" s="76" t="str">
        <f t="shared" si="2"/>
        <v/>
      </c>
      <c r="H50" s="49"/>
      <c r="I50" s="21"/>
      <c r="L50" s="18" t="s">
        <v>41</v>
      </c>
      <c r="W50" s="74"/>
    </row>
    <row r="51" spans="1:81" ht="15" customHeight="1" x14ac:dyDescent="0.25">
      <c r="A51" s="21"/>
      <c r="B51" s="28"/>
      <c r="C51" s="120"/>
      <c r="D51" s="118"/>
      <c r="E51" s="118"/>
      <c r="F51" s="119"/>
      <c r="G51" s="76" t="str">
        <f t="shared" si="2"/>
        <v/>
      </c>
      <c r="H51" s="49"/>
      <c r="I51" s="21"/>
    </row>
    <row r="52" spans="1:81" ht="15" customHeight="1" x14ac:dyDescent="0.25">
      <c r="A52" s="21"/>
      <c r="B52" s="28"/>
      <c r="C52" s="120"/>
      <c r="D52" s="118"/>
      <c r="E52" s="118"/>
      <c r="F52" s="119"/>
      <c r="G52" s="76" t="str">
        <f t="shared" si="2"/>
        <v/>
      </c>
      <c r="H52" s="50"/>
      <c r="I52" s="21"/>
    </row>
    <row r="53" spans="1:81" ht="15" customHeight="1" thickBot="1" x14ac:dyDescent="0.3">
      <c r="A53" s="21"/>
      <c r="B53" s="28"/>
      <c r="C53" s="21"/>
      <c r="D53" s="21"/>
      <c r="E53" s="172" t="s">
        <v>15</v>
      </c>
      <c r="F53" s="173"/>
      <c r="G53" s="93">
        <f>SUM(G47:G52)</f>
        <v>104.0239396795476</v>
      </c>
      <c r="H53" s="50"/>
      <c r="I53" s="21"/>
      <c r="L53" s="1" t="s">
        <v>42</v>
      </c>
    </row>
    <row r="54" spans="1:81" ht="15" customHeight="1" thickTop="1" thickBot="1" x14ac:dyDescent="0.3">
      <c r="A54" s="21"/>
      <c r="B54" s="28"/>
      <c r="C54" s="21"/>
      <c r="D54" s="38"/>
      <c r="E54" s="46"/>
      <c r="F54" s="54"/>
      <c r="G54" s="55"/>
      <c r="H54" s="50"/>
      <c r="I54" s="21"/>
      <c r="L54" s="115">
        <v>0.21</v>
      </c>
      <c r="M54" s="11" t="s">
        <v>43</v>
      </c>
    </row>
    <row r="55" spans="1:81" ht="15" customHeight="1" thickTop="1" thickBot="1" x14ac:dyDescent="0.3">
      <c r="A55" s="21"/>
      <c r="B55" s="28"/>
      <c r="C55" s="21"/>
      <c r="D55" s="21"/>
      <c r="E55" s="21"/>
      <c r="F55" s="21"/>
      <c r="G55" s="21"/>
      <c r="H55" s="50"/>
      <c r="I55" s="21"/>
      <c r="L55" s="116">
        <v>0.5</v>
      </c>
      <c r="M55" s="11" t="s">
        <v>110</v>
      </c>
    </row>
    <row r="56" spans="1:81" ht="15" customHeight="1" thickTop="1" x14ac:dyDescent="0.25">
      <c r="A56" s="21"/>
      <c r="B56" s="28"/>
      <c r="C56" s="142" t="s">
        <v>112</v>
      </c>
      <c r="D56" s="21"/>
      <c r="E56" s="83"/>
      <c r="F56" s="70" t="s">
        <v>20</v>
      </c>
      <c r="G56" s="94">
        <f>(G43+G53)</f>
        <v>563.50744580584353</v>
      </c>
      <c r="H56" s="50"/>
      <c r="I56" s="21"/>
      <c r="J56" s="14"/>
      <c r="K56" s="14"/>
      <c r="L56" s="14"/>
      <c r="M56" s="14"/>
      <c r="N56" s="14"/>
      <c r="O56" s="14"/>
      <c r="P56" s="14"/>
      <c r="Q56" s="14"/>
      <c r="R56" s="14"/>
      <c r="S56" s="14"/>
    </row>
    <row r="57" spans="1:81" ht="15" customHeight="1" x14ac:dyDescent="0.25">
      <c r="A57" s="21"/>
      <c r="B57" s="28"/>
      <c r="C57" s="121" t="s">
        <v>16</v>
      </c>
      <c r="D57" s="21"/>
      <c r="E57" s="91"/>
      <c r="F57" s="71" t="str">
        <f>"Total with VAT "&amp;(L54*100)&amp;"% ("&amp;TEXT(ROUNDUP((G57-G56),0),"# ###")&amp;" USD):"</f>
        <v>Total with VAT 21% (119 USD):</v>
      </c>
      <c r="G57" s="95">
        <f>ROUNDUP(G56+((G43+G53)*L54),0)</f>
        <v>682</v>
      </c>
      <c r="H57" s="50"/>
      <c r="I57" s="21"/>
      <c r="J57" s="14"/>
      <c r="K57" s="14"/>
      <c r="L57" s="65"/>
      <c r="M57" s="65"/>
      <c r="N57" s="65"/>
      <c r="O57" s="65"/>
      <c r="P57" s="65"/>
      <c r="Q57" s="65"/>
      <c r="R57" s="65"/>
      <c r="S57" s="65"/>
    </row>
    <row r="58" spans="1:81" ht="15" customHeight="1" thickBot="1" x14ac:dyDescent="0.3">
      <c r="A58" s="21"/>
      <c r="B58" s="28"/>
      <c r="C58" s="121" t="s">
        <v>17</v>
      </c>
      <c r="D58" s="21"/>
      <c r="E58" s="113"/>
      <c r="F58" s="72" t="str">
        <f>"Deposit "&amp; (L55*100) &amp;"%:"</f>
        <v>Deposit 50%:</v>
      </c>
      <c r="G58" s="96">
        <f>ROUNDUP((G57*L55),0)</f>
        <v>341</v>
      </c>
      <c r="H58" s="85"/>
      <c r="I58" s="86"/>
      <c r="J58" s="87"/>
      <c r="K58" s="87"/>
      <c r="L58" s="65"/>
      <c r="M58" s="65"/>
      <c r="N58" s="65"/>
      <c r="O58" s="65"/>
      <c r="P58" s="65"/>
      <c r="Q58" s="65"/>
      <c r="R58" s="65"/>
      <c r="S58" s="65"/>
      <c r="T58" s="88"/>
      <c r="U58" s="88"/>
      <c r="V58" s="88"/>
      <c r="W58" s="88"/>
      <c r="X58" s="88"/>
      <c r="Y58" s="88"/>
      <c r="Z58" s="88"/>
      <c r="AA58" s="88"/>
      <c r="AB58" s="88"/>
      <c r="AC58" s="88"/>
      <c r="AD58" s="88"/>
      <c r="AE58" s="88"/>
      <c r="AF58" s="88"/>
      <c r="AG58" s="88"/>
      <c r="AH58" s="88"/>
      <c r="AI58" s="88"/>
      <c r="AJ58" s="88"/>
      <c r="AK58" s="88"/>
      <c r="AL58" s="88"/>
      <c r="AM58" s="88"/>
      <c r="AN58" s="88"/>
      <c r="AO58" s="88"/>
      <c r="AP58" s="88"/>
      <c r="AQ58" s="88"/>
      <c r="AR58" s="88"/>
      <c r="AS58" s="88"/>
      <c r="AT58" s="88"/>
      <c r="AU58" s="88"/>
      <c r="AV58" s="88"/>
      <c r="AW58" s="88"/>
      <c r="AX58" s="88"/>
      <c r="AY58" s="88"/>
      <c r="AZ58" s="88"/>
      <c r="BA58" s="88"/>
      <c r="BB58" s="88"/>
      <c r="BC58" s="88"/>
      <c r="BD58" s="88"/>
      <c r="BE58" s="88"/>
      <c r="BF58" s="88"/>
      <c r="BG58" s="88"/>
      <c r="BH58" s="88"/>
      <c r="BI58" s="88"/>
      <c r="BJ58" s="88"/>
      <c r="BK58" s="88"/>
      <c r="BL58" s="88"/>
      <c r="BM58" s="88"/>
      <c r="BN58" s="88"/>
      <c r="BO58" s="88"/>
      <c r="BP58" s="88"/>
      <c r="BQ58" s="88"/>
      <c r="BR58" s="88"/>
      <c r="BS58" s="88"/>
      <c r="BT58" s="88"/>
      <c r="BU58" s="88"/>
      <c r="BV58" s="88"/>
      <c r="BW58" s="88"/>
      <c r="BX58" s="88"/>
      <c r="BY58" s="88"/>
      <c r="BZ58" s="88"/>
      <c r="CA58" s="88"/>
      <c r="CB58" s="88"/>
      <c r="CC58" s="88"/>
    </row>
    <row r="59" spans="1:81" ht="15" customHeight="1" thickTop="1" x14ac:dyDescent="0.25">
      <c r="A59" s="21"/>
      <c r="B59" s="28"/>
      <c r="C59" s="21"/>
      <c r="D59" s="21"/>
      <c r="E59" s="46"/>
      <c r="F59" s="71"/>
      <c r="G59" s="73" t="s">
        <v>21</v>
      </c>
      <c r="H59" s="85"/>
      <c r="I59" s="86"/>
      <c r="J59" s="87"/>
      <c r="K59" s="87"/>
      <c r="L59" s="65"/>
      <c r="M59" s="65"/>
      <c r="N59" s="65"/>
      <c r="O59" s="65"/>
      <c r="P59" s="65"/>
      <c r="Q59" s="65"/>
      <c r="R59" s="65"/>
      <c r="S59" s="65"/>
      <c r="T59" s="88"/>
      <c r="U59" s="88"/>
      <c r="V59" s="88"/>
      <c r="W59" s="88"/>
      <c r="X59" s="88"/>
      <c r="Y59" s="88"/>
      <c r="Z59" s="88"/>
      <c r="AA59" s="88"/>
      <c r="AB59" s="88"/>
      <c r="AC59" s="88"/>
      <c r="AD59" s="88"/>
      <c r="AE59" s="88"/>
      <c r="AF59" s="88"/>
      <c r="AG59" s="88"/>
      <c r="AH59" s="88"/>
      <c r="AI59" s="88"/>
      <c r="AJ59" s="88"/>
      <c r="AK59" s="88"/>
      <c r="AL59" s="88"/>
      <c r="AM59" s="88"/>
      <c r="AN59" s="88"/>
      <c r="AO59" s="88"/>
      <c r="AP59" s="88"/>
      <c r="AQ59" s="88"/>
      <c r="AR59" s="88"/>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c r="BS59" s="88"/>
      <c r="BT59" s="88"/>
      <c r="BU59" s="88"/>
      <c r="BV59" s="88"/>
      <c r="BW59" s="88"/>
      <c r="BX59" s="88"/>
      <c r="BY59" s="88"/>
      <c r="BZ59" s="88"/>
      <c r="CA59" s="88"/>
      <c r="CB59" s="88"/>
      <c r="CC59" s="88"/>
    </row>
    <row r="60" spans="1:81" ht="15" customHeight="1" x14ac:dyDescent="0.25">
      <c r="A60" s="21"/>
      <c r="B60" s="28"/>
      <c r="C60" s="21"/>
      <c r="D60" s="21"/>
      <c r="E60" s="46"/>
      <c r="F60" s="53"/>
      <c r="G60" s="21"/>
      <c r="H60" s="85"/>
      <c r="I60" s="86"/>
      <c r="J60" s="87"/>
      <c r="K60" s="87"/>
      <c r="L60" s="65"/>
      <c r="M60" s="65"/>
      <c r="N60" s="65"/>
      <c r="O60" s="65"/>
      <c r="P60" s="65"/>
      <c r="Q60" s="65"/>
      <c r="R60" s="65"/>
      <c r="S60" s="65"/>
      <c r="T60" s="88"/>
      <c r="U60" s="88"/>
      <c r="V60" s="88"/>
      <c r="W60" s="88"/>
      <c r="X60" s="88"/>
      <c r="Y60" s="88"/>
      <c r="Z60" s="88"/>
      <c r="AA60" s="88"/>
      <c r="AB60" s="88"/>
      <c r="AC60" s="88"/>
      <c r="AD60" s="88"/>
      <c r="AE60" s="88"/>
      <c r="AF60" s="88"/>
      <c r="AG60" s="88"/>
      <c r="AH60" s="88"/>
      <c r="AI60" s="88"/>
      <c r="AJ60" s="88"/>
      <c r="AK60" s="88"/>
      <c r="AL60" s="88"/>
      <c r="AM60" s="88"/>
      <c r="AN60" s="88"/>
      <c r="AO60" s="88"/>
      <c r="AP60" s="88"/>
      <c r="AQ60" s="88"/>
      <c r="AR60" s="88"/>
      <c r="AS60" s="88"/>
      <c r="AT60" s="88"/>
      <c r="AU60" s="88"/>
      <c r="AV60" s="88"/>
      <c r="AW60" s="88"/>
      <c r="AX60" s="88"/>
      <c r="AY60" s="88"/>
      <c r="AZ60" s="88"/>
      <c r="BA60" s="88"/>
      <c r="BB60" s="88"/>
      <c r="BC60" s="88"/>
      <c r="BD60" s="88"/>
      <c r="BE60" s="88"/>
      <c r="BF60" s="88"/>
      <c r="BG60" s="88"/>
      <c r="BH60" s="88"/>
      <c r="BI60" s="88"/>
      <c r="BJ60" s="88"/>
      <c r="BK60" s="88"/>
      <c r="BL60" s="88"/>
      <c r="BM60" s="88"/>
      <c r="BN60" s="88"/>
      <c r="BO60" s="88"/>
      <c r="BP60" s="88"/>
      <c r="BQ60" s="88"/>
      <c r="BR60" s="88"/>
      <c r="BS60" s="88"/>
      <c r="BT60" s="88"/>
      <c r="BU60" s="88"/>
      <c r="BV60" s="88"/>
      <c r="BW60" s="88"/>
      <c r="BX60" s="88"/>
      <c r="BY60" s="88"/>
      <c r="BZ60" s="88"/>
      <c r="CA60" s="88"/>
      <c r="CB60" s="88"/>
      <c r="CC60" s="88"/>
    </row>
    <row r="61" spans="1:81" ht="15" customHeight="1" x14ac:dyDescent="0.25">
      <c r="A61" s="21"/>
      <c r="B61" s="28"/>
      <c r="C61" s="86"/>
      <c r="D61" s="89"/>
      <c r="E61" s="86"/>
      <c r="F61" s="86"/>
      <c r="G61" s="86"/>
      <c r="H61" s="85"/>
      <c r="I61" s="86"/>
      <c r="J61" s="87"/>
      <c r="K61" s="87"/>
      <c r="L61" s="65"/>
      <c r="M61" s="65"/>
      <c r="N61" s="65"/>
      <c r="O61" s="65"/>
      <c r="P61" s="65"/>
      <c r="Q61" s="65"/>
      <c r="R61" s="65"/>
      <c r="S61" s="65"/>
      <c r="T61" s="88"/>
      <c r="U61" s="88"/>
      <c r="V61" s="88"/>
      <c r="W61" s="88"/>
      <c r="X61" s="88"/>
      <c r="Y61" s="88"/>
      <c r="Z61" s="88"/>
      <c r="AA61" s="88"/>
      <c r="AB61" s="88"/>
      <c r="AC61" s="88"/>
      <c r="AD61" s="88"/>
      <c r="AE61" s="88"/>
      <c r="AF61" s="88"/>
      <c r="AG61" s="88"/>
      <c r="AH61" s="88"/>
      <c r="AI61" s="88"/>
      <c r="AJ61" s="88"/>
      <c r="AK61" s="88"/>
      <c r="AL61" s="88"/>
      <c r="AM61" s="88"/>
      <c r="AN61" s="88"/>
      <c r="AO61" s="88"/>
      <c r="AP61" s="88"/>
      <c r="AQ61" s="88"/>
      <c r="AR61" s="88"/>
      <c r="AS61" s="88"/>
      <c r="AT61" s="88"/>
      <c r="AU61" s="88"/>
      <c r="AV61" s="88"/>
      <c r="AW61" s="88"/>
      <c r="AX61" s="88"/>
      <c r="AY61" s="88"/>
      <c r="AZ61" s="88"/>
      <c r="BA61" s="88"/>
      <c r="BB61" s="88"/>
      <c r="BC61" s="88"/>
      <c r="BD61" s="88"/>
      <c r="BE61" s="88"/>
      <c r="BF61" s="88"/>
      <c r="BG61" s="88"/>
      <c r="BH61" s="88"/>
      <c r="BI61" s="88"/>
      <c r="BJ61" s="88"/>
      <c r="BK61" s="88"/>
      <c r="BL61" s="88"/>
      <c r="BM61" s="88"/>
      <c r="BN61" s="88"/>
      <c r="BO61" s="88"/>
      <c r="BP61" s="88"/>
      <c r="BQ61" s="88"/>
      <c r="BR61" s="88"/>
      <c r="BS61" s="88"/>
      <c r="BT61" s="88"/>
      <c r="BU61" s="88"/>
      <c r="BV61" s="88"/>
      <c r="BW61" s="88"/>
      <c r="BX61" s="88"/>
      <c r="BY61" s="88"/>
      <c r="BZ61" s="88"/>
      <c r="CA61" s="88"/>
      <c r="CB61" s="88"/>
      <c r="CC61" s="88"/>
    </row>
    <row r="62" spans="1:81" ht="15" customHeight="1" x14ac:dyDescent="0.25">
      <c r="A62" s="21"/>
      <c r="B62" s="28"/>
      <c r="C62" s="86"/>
      <c r="D62" s="86"/>
      <c r="E62" s="86"/>
      <c r="F62" s="86"/>
      <c r="G62" s="86"/>
      <c r="H62" s="85"/>
      <c r="I62" s="86"/>
      <c r="J62" s="87"/>
      <c r="K62" s="87"/>
      <c r="L62" s="65"/>
      <c r="M62" s="65"/>
      <c r="N62" s="65"/>
      <c r="O62" s="65"/>
      <c r="P62" s="65"/>
      <c r="Q62" s="65"/>
      <c r="R62" s="65"/>
      <c r="S62" s="65"/>
      <c r="T62" s="88"/>
      <c r="U62" s="88"/>
      <c r="V62" s="88"/>
      <c r="W62" s="88"/>
      <c r="X62" s="88"/>
      <c r="Y62" s="88"/>
      <c r="Z62" s="88"/>
      <c r="AA62" s="88"/>
      <c r="AB62" s="88"/>
      <c r="AC62" s="88"/>
      <c r="AD62" s="88"/>
      <c r="AE62" s="88"/>
      <c r="AF62" s="88"/>
      <c r="AG62" s="88"/>
      <c r="AH62" s="88"/>
      <c r="AI62" s="88"/>
      <c r="AJ62" s="88"/>
      <c r="AK62" s="88"/>
      <c r="AL62" s="88"/>
      <c r="AM62" s="88"/>
      <c r="AN62" s="88"/>
      <c r="AO62" s="88"/>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c r="BS62" s="88"/>
      <c r="BT62" s="88"/>
      <c r="BU62" s="88"/>
      <c r="BV62" s="88"/>
      <c r="BW62" s="88"/>
      <c r="BX62" s="88"/>
      <c r="BY62" s="88"/>
      <c r="BZ62" s="88"/>
      <c r="CA62" s="88"/>
      <c r="CB62" s="88"/>
      <c r="CC62" s="88"/>
    </row>
    <row r="63" spans="1:81" ht="15" customHeight="1" x14ac:dyDescent="0.25">
      <c r="A63" s="21"/>
      <c r="B63" s="28"/>
      <c r="C63"/>
      <c r="D63" s="86"/>
      <c r="E63" s="86"/>
      <c r="F63" s="86"/>
      <c r="G63" s="86"/>
      <c r="H63" s="85"/>
      <c r="I63" s="86"/>
      <c r="J63" s="87"/>
      <c r="K63" s="87"/>
      <c r="L63" s="65"/>
      <c r="M63" s="65"/>
      <c r="N63" s="65"/>
      <c r="O63" s="65"/>
      <c r="P63" s="65"/>
      <c r="Q63" s="65"/>
      <c r="R63" s="65"/>
      <c r="S63" s="65"/>
      <c r="T63" s="88"/>
      <c r="U63" s="88"/>
      <c r="V63" s="88"/>
      <c r="W63" s="88"/>
      <c r="X63" s="88"/>
      <c r="Y63" s="88"/>
      <c r="Z63" s="88"/>
      <c r="AA63" s="88"/>
      <c r="AB63" s="88"/>
      <c r="AC63" s="88"/>
      <c r="AD63" s="88"/>
      <c r="AE63" s="88"/>
      <c r="AF63" s="88"/>
      <c r="AG63" s="88"/>
      <c r="AH63" s="88"/>
      <c r="AI63" s="88"/>
      <c r="AJ63" s="88"/>
      <c r="AK63" s="88"/>
      <c r="AL63" s="88"/>
      <c r="AM63" s="88"/>
      <c r="AN63" s="88"/>
      <c r="AO63" s="88"/>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c r="BS63" s="88"/>
      <c r="BT63" s="88"/>
      <c r="BU63" s="88"/>
      <c r="BV63" s="88"/>
      <c r="BW63" s="88"/>
      <c r="BX63" s="88"/>
      <c r="BY63" s="88"/>
      <c r="BZ63" s="88"/>
      <c r="CA63" s="88"/>
      <c r="CB63" s="88"/>
      <c r="CC63" s="88"/>
    </row>
    <row r="64" spans="1:81" ht="15" customHeight="1" thickBot="1" x14ac:dyDescent="0.3">
      <c r="A64" s="21"/>
      <c r="B64" s="28"/>
      <c r="C64"/>
      <c r="D64" s="86"/>
      <c r="E64" s="86"/>
      <c r="F64" s="86"/>
      <c r="G64" s="86"/>
      <c r="H64" s="85"/>
      <c r="I64" s="86"/>
      <c r="J64" s="87"/>
      <c r="K64" s="87"/>
      <c r="L64" s="65"/>
      <c r="M64" s="65"/>
      <c r="N64" s="65"/>
      <c r="O64" s="65"/>
      <c r="P64" s="65"/>
      <c r="Q64" s="65"/>
      <c r="R64" s="65"/>
      <c r="S64" s="65"/>
      <c r="T64" s="88"/>
      <c r="U64" s="88"/>
      <c r="V64" s="88"/>
      <c r="W64" s="88"/>
      <c r="X64" s="88"/>
      <c r="Y64" s="88"/>
      <c r="Z64" s="88"/>
      <c r="AA64" s="88"/>
      <c r="AB64" s="88"/>
      <c r="AC64" s="88"/>
      <c r="AD64" s="88"/>
      <c r="AE64" s="88"/>
      <c r="AF64" s="88"/>
      <c r="AG64" s="88"/>
      <c r="AH64" s="88"/>
      <c r="AI64" s="88"/>
      <c r="AJ64" s="88"/>
      <c r="AK64" s="88"/>
      <c r="AL64" s="88"/>
      <c r="AM64" s="88"/>
      <c r="AN64" s="88"/>
      <c r="AO64" s="88"/>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88"/>
      <c r="BZ64" s="88"/>
      <c r="CA64" s="88"/>
      <c r="CB64" s="88"/>
      <c r="CC64" s="88"/>
    </row>
    <row r="65" spans="1:81" ht="15" customHeight="1" thickTop="1" thickBot="1" x14ac:dyDescent="0.3">
      <c r="A65" s="21"/>
      <c r="B65" s="28"/>
      <c r="C65" s="86"/>
      <c r="D65" s="86"/>
      <c r="E65" s="86"/>
      <c r="F65" s="86"/>
      <c r="G65" s="86"/>
      <c r="H65" s="85"/>
      <c r="I65" s="86"/>
      <c r="J65" s="87"/>
      <c r="K65" s="87"/>
      <c r="L65" s="193"/>
      <c r="M65" s="145" t="s">
        <v>111</v>
      </c>
      <c r="N65" s="65"/>
      <c r="O65" s="65"/>
      <c r="P65" s="65"/>
      <c r="Q65" s="65"/>
      <c r="R65" s="65"/>
      <c r="S65" s="65"/>
      <c r="T65" s="88"/>
      <c r="U65" s="88"/>
      <c r="V65" s="88"/>
      <c r="W65" s="88"/>
      <c r="X65" s="88"/>
      <c r="Y65" s="88"/>
      <c r="Z65" s="88"/>
      <c r="AA65" s="88"/>
      <c r="AB65" s="88"/>
      <c r="AC65" s="88"/>
      <c r="AD65" s="88"/>
      <c r="AE65" s="88"/>
      <c r="AF65" s="88"/>
      <c r="AG65" s="88"/>
      <c r="AH65" s="88"/>
      <c r="AI65" s="88"/>
      <c r="AJ65" s="88"/>
      <c r="AK65" s="88"/>
      <c r="AL65" s="88"/>
      <c r="AM65" s="88"/>
      <c r="AN65" s="88"/>
      <c r="AO65" s="88"/>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c r="BS65" s="88"/>
      <c r="BT65" s="88"/>
      <c r="BU65" s="88"/>
      <c r="BV65" s="88"/>
      <c r="BW65" s="88"/>
      <c r="BX65" s="88"/>
      <c r="BY65" s="88"/>
      <c r="BZ65" s="88"/>
      <c r="CA65" s="88"/>
      <c r="CB65" s="88"/>
      <c r="CC65" s="88"/>
    </row>
    <row r="66" spans="1:81" ht="15" customHeight="1" thickTop="1" x14ac:dyDescent="0.25">
      <c r="A66" s="21"/>
      <c r="B66" s="28"/>
      <c r="C66" s="86"/>
      <c r="D66" s="86"/>
      <c r="E66" s="86"/>
      <c r="F66" s="86"/>
      <c r="G66" s="86"/>
      <c r="H66" s="50"/>
      <c r="I66" s="21"/>
      <c r="J66" s="14"/>
      <c r="K66" s="14"/>
      <c r="L66" s="65"/>
      <c r="M66" s="65"/>
      <c r="N66" s="65"/>
      <c r="O66" s="65"/>
      <c r="P66" s="65"/>
      <c r="Q66" s="65"/>
      <c r="R66" s="65"/>
      <c r="S66" s="65"/>
    </row>
    <row r="67" spans="1:81" ht="15" customHeight="1" x14ac:dyDescent="0.25">
      <c r="A67" s="21"/>
      <c r="B67" s="28"/>
      <c r="C67" s="86"/>
      <c r="D67" s="86"/>
      <c r="E67" s="86"/>
      <c r="F67" s="86"/>
      <c r="G67" s="86"/>
      <c r="H67" s="50"/>
      <c r="I67" s="21"/>
      <c r="J67" s="14"/>
      <c r="K67" s="14"/>
      <c r="L67" s="65"/>
      <c r="M67" s="65"/>
      <c r="N67" s="65"/>
      <c r="O67" s="65"/>
      <c r="P67" s="65"/>
      <c r="Q67" s="65"/>
      <c r="R67" s="65"/>
      <c r="S67" s="65"/>
    </row>
    <row r="68" spans="1:81" ht="15" customHeight="1" x14ac:dyDescent="0.25">
      <c r="A68" s="21"/>
      <c r="B68" s="28"/>
      <c r="C68" s="86"/>
      <c r="D68" s="86"/>
      <c r="E68" s="86"/>
      <c r="F68" s="86"/>
      <c r="G68" s="86"/>
      <c r="H68" s="50"/>
      <c r="I68" s="21"/>
      <c r="J68" s="14"/>
      <c r="K68" s="14"/>
      <c r="L68" s="65"/>
      <c r="M68" s="65"/>
      <c r="N68" s="65"/>
      <c r="O68" s="65"/>
      <c r="P68" s="65"/>
      <c r="Q68" s="65"/>
      <c r="R68" s="65"/>
      <c r="S68" s="65"/>
    </row>
    <row r="69" spans="1:81" ht="15" customHeight="1" x14ac:dyDescent="0.25">
      <c r="A69" s="21"/>
      <c r="B69" s="28"/>
      <c r="C69" s="56"/>
      <c r="D69" s="57"/>
      <c r="E69" s="29"/>
      <c r="F69" s="54"/>
      <c r="G69" s="58"/>
      <c r="H69" s="50"/>
      <c r="I69" s="21"/>
      <c r="J69" s="14"/>
      <c r="K69" s="14"/>
      <c r="L69" s="66"/>
      <c r="M69" s="66"/>
      <c r="N69" s="66"/>
      <c r="O69" s="66"/>
      <c r="P69" s="66"/>
      <c r="Q69" s="65"/>
      <c r="R69" s="65"/>
      <c r="S69" s="65"/>
    </row>
    <row r="70" spans="1:81" ht="15" customHeight="1" x14ac:dyDescent="0.25">
      <c r="A70" s="21"/>
      <c r="B70" s="28"/>
      <c r="C70" s="56" t="s">
        <v>18</v>
      </c>
      <c r="D70" s="57"/>
      <c r="E70" s="29"/>
      <c r="F70" s="54"/>
      <c r="G70" s="58"/>
      <c r="H70" s="50"/>
      <c r="I70" s="21"/>
      <c r="J70" s="14"/>
      <c r="K70" s="14"/>
      <c r="L70" s="66"/>
      <c r="M70" s="66"/>
      <c r="N70" s="66"/>
      <c r="O70" s="66"/>
      <c r="P70" s="66"/>
      <c r="Q70" s="65"/>
      <c r="R70" s="65"/>
      <c r="S70" s="65"/>
    </row>
    <row r="71" spans="1:81" ht="15" customHeight="1" x14ac:dyDescent="0.25">
      <c r="A71" s="21"/>
      <c r="B71" s="28"/>
      <c r="C71" s="90" t="s">
        <v>19</v>
      </c>
      <c r="D71" s="57"/>
      <c r="E71" s="29"/>
      <c r="F71" s="54"/>
      <c r="G71" s="58"/>
      <c r="H71" s="59"/>
      <c r="I71" s="21"/>
      <c r="J71" s="14"/>
      <c r="K71" s="14"/>
      <c r="L71" s="66"/>
      <c r="M71" s="66"/>
      <c r="N71" s="66"/>
      <c r="O71" s="66"/>
      <c r="P71" s="66"/>
      <c r="Q71" s="65"/>
      <c r="R71" s="65"/>
      <c r="S71" s="65"/>
    </row>
    <row r="72" spans="1:81" ht="15" customHeight="1" x14ac:dyDescent="0.25">
      <c r="A72" s="21"/>
      <c r="B72" s="28"/>
      <c r="C72" s="21"/>
      <c r="D72" s="21"/>
      <c r="E72" s="46"/>
      <c r="F72" s="54"/>
      <c r="G72" s="58"/>
      <c r="H72" s="59"/>
      <c r="I72" s="21"/>
      <c r="J72" s="14"/>
      <c r="K72" s="14"/>
      <c r="L72" s="66"/>
      <c r="M72" s="66"/>
      <c r="N72" s="66"/>
      <c r="O72" s="66"/>
      <c r="P72" s="66"/>
      <c r="Q72" s="65"/>
      <c r="R72" s="65"/>
      <c r="S72" s="65"/>
    </row>
    <row r="73" spans="1:81" ht="15" customHeight="1" x14ac:dyDescent="0.25">
      <c r="A73" s="21"/>
      <c r="B73" s="28"/>
      <c r="C73" s="21"/>
      <c r="D73" s="21"/>
      <c r="E73" s="60"/>
      <c r="F73" s="38"/>
      <c r="G73" s="58"/>
      <c r="H73" s="59"/>
      <c r="I73" s="21"/>
      <c r="J73" s="14"/>
      <c r="K73" s="14"/>
      <c r="L73" s="66"/>
      <c r="M73" s="66"/>
      <c r="N73" s="66"/>
      <c r="O73" s="66"/>
      <c r="P73" s="66"/>
      <c r="Q73" s="65"/>
      <c r="R73" s="65"/>
      <c r="S73" s="65"/>
    </row>
    <row r="74" spans="1:81" ht="15" customHeight="1" x14ac:dyDescent="0.25">
      <c r="A74" s="21"/>
      <c r="B74" s="28"/>
      <c r="C74" s="47"/>
      <c r="D74" s="21"/>
      <c r="E74" s="29"/>
      <c r="F74" s="21"/>
      <c r="G74" s="21"/>
      <c r="H74" s="50"/>
      <c r="I74" s="21"/>
      <c r="J74" s="14"/>
      <c r="K74" s="14"/>
      <c r="L74" s="66"/>
      <c r="M74" s="66"/>
      <c r="N74" s="66"/>
      <c r="O74" s="66"/>
      <c r="P74" s="66"/>
      <c r="Q74" s="65"/>
      <c r="R74" s="65"/>
      <c r="S74" s="65"/>
    </row>
    <row r="75" spans="1:81" ht="15" customHeight="1" x14ac:dyDescent="0.25">
      <c r="A75" s="21"/>
      <c r="B75" s="28"/>
      <c r="C75" s="21"/>
      <c r="D75" s="21"/>
      <c r="E75" s="54"/>
      <c r="F75" s="54"/>
      <c r="G75" s="54"/>
      <c r="H75" s="50"/>
      <c r="I75" s="21"/>
      <c r="J75" s="14"/>
      <c r="K75" s="14"/>
      <c r="L75" s="65"/>
      <c r="M75" s="65"/>
      <c r="N75" s="65"/>
      <c r="O75" s="65"/>
      <c r="P75" s="65"/>
      <c r="Q75" s="65"/>
      <c r="R75" s="65"/>
      <c r="S75" s="65"/>
    </row>
    <row r="76" spans="1:81" ht="15" customHeight="1" x14ac:dyDescent="0.25">
      <c r="A76" s="21"/>
      <c r="B76" s="28"/>
      <c r="C76" s="47" t="s">
        <v>0</v>
      </c>
      <c r="D76" s="21"/>
      <c r="E76" s="29"/>
      <c r="F76" s="54"/>
      <c r="G76" s="54"/>
      <c r="H76" s="26"/>
      <c r="I76" s="21"/>
      <c r="J76" s="14"/>
      <c r="K76" s="14"/>
      <c r="L76" s="65"/>
      <c r="M76" s="67"/>
      <c r="N76" s="65"/>
      <c r="O76" s="65"/>
      <c r="P76" s="65"/>
      <c r="Q76" s="65"/>
      <c r="R76" s="65"/>
      <c r="S76" s="65"/>
    </row>
    <row r="77" spans="1:81" ht="15" customHeight="1" x14ac:dyDescent="0.25">
      <c r="A77" s="21"/>
      <c r="B77" s="28"/>
      <c r="C77" s="47" t="str">
        <f>Q7</f>
        <v>John Doe</v>
      </c>
      <c r="D77" s="21"/>
      <c r="E77" s="29"/>
      <c r="F77" s="54"/>
      <c r="G77" s="54"/>
      <c r="H77" s="26"/>
      <c r="I77" s="21"/>
      <c r="J77" s="14"/>
      <c r="K77" s="14"/>
      <c r="L77" s="68"/>
      <c r="M77" s="65"/>
      <c r="N77" s="65"/>
      <c r="O77" s="65"/>
      <c r="P77" s="65"/>
      <c r="Q77" s="65"/>
      <c r="R77" s="65"/>
      <c r="S77" s="65"/>
    </row>
    <row r="78" spans="1:81" ht="15" customHeight="1" x14ac:dyDescent="0.25">
      <c r="A78" s="21"/>
      <c r="B78" s="28"/>
      <c r="C78" s="61" t="str">
        <f>Q10</f>
        <v>+1.999.999.999.999</v>
      </c>
      <c r="D78" s="21"/>
      <c r="E78" s="29"/>
      <c r="F78" s="32"/>
      <c r="G78" s="32"/>
      <c r="H78" s="26"/>
      <c r="I78" s="21"/>
      <c r="J78" s="14"/>
      <c r="K78" s="14"/>
      <c r="L78" s="65"/>
      <c r="M78" s="65"/>
      <c r="N78" s="65"/>
      <c r="O78" s="65"/>
      <c r="P78" s="65"/>
      <c r="Q78" s="65"/>
      <c r="R78" s="65"/>
      <c r="S78" s="65"/>
    </row>
    <row r="79" spans="1:81" ht="15" customHeight="1" x14ac:dyDescent="0.25">
      <c r="A79" s="21"/>
      <c r="B79" s="28"/>
      <c r="C79" s="9" t="str">
        <f>Q11</f>
        <v>john.doe@does-incorporated.com</v>
      </c>
      <c r="D79" s="21"/>
      <c r="E79" s="29"/>
      <c r="F79" s="32"/>
      <c r="G79" s="21"/>
      <c r="H79" s="26"/>
      <c r="I79" s="21"/>
      <c r="J79" s="14"/>
      <c r="K79" s="14"/>
      <c r="L79" s="65"/>
      <c r="M79" s="65"/>
      <c r="N79" s="65"/>
      <c r="O79" s="65"/>
      <c r="P79" s="65"/>
      <c r="Q79" s="65"/>
      <c r="R79" s="65"/>
      <c r="S79" s="65"/>
    </row>
    <row r="80" spans="1:81" ht="15" customHeight="1" thickBot="1" x14ac:dyDescent="0.3">
      <c r="A80" s="21"/>
      <c r="B80" s="31"/>
      <c r="C80" s="62"/>
      <c r="D80" s="62"/>
      <c r="E80" s="63"/>
      <c r="F80" s="64"/>
      <c r="G80" s="62"/>
      <c r="H80" s="27"/>
      <c r="I80" s="21"/>
      <c r="J80" s="14"/>
      <c r="K80" s="14"/>
      <c r="L80" s="65"/>
      <c r="M80" s="65"/>
      <c r="N80" s="65"/>
      <c r="O80" s="65"/>
      <c r="P80" s="65"/>
      <c r="Q80" s="65"/>
      <c r="R80" s="65"/>
      <c r="S80" s="65"/>
    </row>
    <row r="81" spans="1:19" ht="15" customHeight="1" thickTop="1" thickBot="1" x14ac:dyDescent="0.3">
      <c r="A81" s="21"/>
      <c r="B81" s="21"/>
      <c r="C81" s="21"/>
      <c r="D81" s="21"/>
      <c r="E81" s="29"/>
      <c r="F81" s="32"/>
      <c r="G81" s="32"/>
      <c r="H81" s="21"/>
      <c r="I81" s="21"/>
      <c r="J81" s="16"/>
      <c r="K81" s="14"/>
      <c r="L81" s="65"/>
      <c r="M81" s="65"/>
      <c r="N81" s="65"/>
      <c r="O81" s="65"/>
      <c r="P81" s="65"/>
      <c r="Q81" s="65"/>
      <c r="R81" s="65"/>
      <c r="S81" s="65"/>
    </row>
    <row r="82" spans="1:19" ht="15" thickTop="1" x14ac:dyDescent="0.25">
      <c r="I82" s="2"/>
      <c r="J82" s="14"/>
      <c r="K82" s="14"/>
      <c r="L82" s="65"/>
      <c r="M82" s="65"/>
      <c r="N82" s="65"/>
      <c r="O82" s="65"/>
      <c r="P82" s="65"/>
      <c r="Q82" s="65"/>
      <c r="R82" s="65"/>
      <c r="S82" s="65"/>
    </row>
    <row r="83" spans="1:19" x14ac:dyDescent="0.25">
      <c r="F83" s="3"/>
      <c r="G83" s="3"/>
      <c r="J83" s="14"/>
      <c r="K83" s="14"/>
      <c r="L83" s="65"/>
      <c r="M83" s="65"/>
      <c r="N83" s="65"/>
      <c r="O83" s="65"/>
      <c r="P83" s="65"/>
      <c r="Q83" s="65"/>
      <c r="R83" s="65"/>
      <c r="S83" s="65"/>
    </row>
    <row r="84" spans="1:19" x14ac:dyDescent="0.25">
      <c r="J84" s="14"/>
      <c r="K84" s="14"/>
      <c r="L84" s="14" t="s">
        <v>44</v>
      </c>
      <c r="M84" s="14"/>
      <c r="N84" s="14"/>
      <c r="O84" s="14"/>
      <c r="P84" s="14"/>
      <c r="Q84" s="14"/>
      <c r="R84" s="14"/>
      <c r="S84" s="14"/>
    </row>
    <row r="85" spans="1:19" x14ac:dyDescent="0.25">
      <c r="J85" s="14"/>
      <c r="K85" s="14"/>
      <c r="L85" s="14" t="s">
        <v>45</v>
      </c>
      <c r="M85" s="14"/>
      <c r="N85" s="14"/>
      <c r="O85" s="14"/>
      <c r="P85" s="14"/>
      <c r="Q85" s="14"/>
      <c r="R85" s="14"/>
      <c r="S85" s="14"/>
    </row>
    <row r="86" spans="1:19" x14ac:dyDescent="0.25">
      <c r="J86" s="14"/>
      <c r="K86" s="14"/>
      <c r="L86" s="14"/>
      <c r="M86" s="14"/>
      <c r="N86" s="14"/>
      <c r="O86" s="14"/>
      <c r="P86" s="14"/>
      <c r="Q86" s="14"/>
      <c r="R86" s="14"/>
      <c r="S86" s="14"/>
    </row>
    <row r="87" spans="1:19" x14ac:dyDescent="0.25">
      <c r="J87" s="14"/>
      <c r="K87" s="14"/>
      <c r="L87" s="14"/>
      <c r="M87" s="14"/>
      <c r="N87" s="14"/>
      <c r="O87" s="14"/>
      <c r="P87" s="14"/>
      <c r="Q87" s="14"/>
      <c r="R87" s="14"/>
      <c r="S87" s="14"/>
    </row>
    <row r="88" spans="1:19" ht="15" x14ac:dyDescent="0.25">
      <c r="C88" s="69"/>
      <c r="J88" s="14"/>
      <c r="K88" s="14"/>
      <c r="L88" s="14"/>
      <c r="M88" s="14"/>
      <c r="N88" s="14"/>
      <c r="O88" s="14"/>
      <c r="P88" s="14"/>
      <c r="Q88" s="14"/>
      <c r="R88" s="14"/>
      <c r="S88" s="14"/>
    </row>
    <row r="89" spans="1:19" x14ac:dyDescent="0.25">
      <c r="J89" s="14"/>
      <c r="K89" s="14"/>
      <c r="L89" s="14"/>
      <c r="M89" s="14"/>
      <c r="N89" s="14"/>
      <c r="O89" s="14"/>
      <c r="P89" s="14"/>
      <c r="Q89" s="14"/>
      <c r="R89" s="14"/>
      <c r="S89" s="14"/>
    </row>
    <row r="90" spans="1:19" x14ac:dyDescent="0.25">
      <c r="J90" s="14"/>
      <c r="K90" s="14"/>
      <c r="L90" s="14"/>
      <c r="M90" s="14"/>
      <c r="N90" s="14"/>
      <c r="O90" s="14"/>
      <c r="P90" s="14"/>
      <c r="Q90" s="14"/>
      <c r="R90" s="14"/>
      <c r="S90" s="14"/>
    </row>
    <row r="91" spans="1:19" x14ac:dyDescent="0.25">
      <c r="J91" s="14"/>
      <c r="K91" s="14"/>
      <c r="L91" s="14"/>
      <c r="M91" s="14"/>
      <c r="N91" s="14"/>
      <c r="O91" s="14"/>
      <c r="P91" s="14"/>
      <c r="Q91" s="14"/>
      <c r="R91" s="14"/>
      <c r="S91" s="14"/>
    </row>
    <row r="92" spans="1:19" x14ac:dyDescent="0.25">
      <c r="J92" s="14"/>
      <c r="K92" s="14"/>
      <c r="L92" s="14"/>
      <c r="M92" s="14"/>
      <c r="N92" s="14"/>
      <c r="O92" s="14"/>
      <c r="P92" s="14"/>
      <c r="Q92" s="14"/>
      <c r="R92" s="14"/>
      <c r="S92" s="14"/>
    </row>
    <row r="93" spans="1:19" x14ac:dyDescent="0.25">
      <c r="J93" s="14"/>
      <c r="K93" s="14"/>
      <c r="L93" s="14"/>
      <c r="M93" s="14"/>
      <c r="N93" s="14"/>
      <c r="O93" s="14"/>
      <c r="P93" s="14"/>
      <c r="Q93" s="14"/>
      <c r="R93" s="14"/>
      <c r="S93" s="14"/>
    </row>
    <row r="94" spans="1:19" x14ac:dyDescent="0.25">
      <c r="J94" s="14"/>
      <c r="K94" s="14"/>
      <c r="L94" s="14"/>
      <c r="M94" s="14"/>
      <c r="N94" s="14"/>
      <c r="O94" s="14"/>
      <c r="P94" s="14"/>
      <c r="Q94" s="14"/>
      <c r="R94" s="14"/>
      <c r="S94" s="14"/>
    </row>
    <row r="95" spans="1:19" ht="15" x14ac:dyDescent="0.25">
      <c r="D95" s="4"/>
      <c r="J95" s="14"/>
      <c r="K95" s="14"/>
      <c r="L95" s="14"/>
      <c r="M95" s="14"/>
      <c r="N95" s="14"/>
      <c r="O95" s="14"/>
      <c r="P95" s="14"/>
      <c r="Q95" s="14"/>
      <c r="R95" s="14"/>
      <c r="S95" s="14"/>
    </row>
    <row r="96" spans="1:19" x14ac:dyDescent="0.25">
      <c r="J96" s="14"/>
      <c r="K96" s="14"/>
      <c r="L96" s="14"/>
      <c r="M96" s="14"/>
      <c r="N96" s="14"/>
      <c r="O96" s="14"/>
      <c r="P96" s="14"/>
      <c r="Q96" s="14"/>
      <c r="R96" s="14"/>
      <c r="S96" s="14"/>
    </row>
    <row r="97" spans="10:19" x14ac:dyDescent="0.25">
      <c r="J97" s="14"/>
      <c r="K97" s="14"/>
      <c r="L97" s="14"/>
      <c r="M97" s="14"/>
      <c r="N97" s="14"/>
      <c r="O97" s="14"/>
      <c r="P97" s="14"/>
      <c r="Q97" s="14"/>
      <c r="R97" s="14"/>
      <c r="S97" s="14"/>
    </row>
    <row r="98" spans="10:19" x14ac:dyDescent="0.25">
      <c r="J98" s="14"/>
      <c r="K98" s="14"/>
      <c r="L98" s="14"/>
      <c r="M98" s="14"/>
      <c r="N98" s="14"/>
      <c r="O98" s="14"/>
      <c r="P98" s="14"/>
      <c r="Q98" s="14"/>
      <c r="R98" s="14"/>
      <c r="S98" s="14"/>
    </row>
    <row r="99" spans="10:19" x14ac:dyDescent="0.25">
      <c r="J99" s="14"/>
      <c r="K99" s="14"/>
      <c r="L99" s="14"/>
      <c r="M99" s="14"/>
      <c r="N99" s="14"/>
      <c r="O99" s="14"/>
      <c r="P99" s="14"/>
      <c r="Q99" s="14"/>
      <c r="R99" s="14"/>
      <c r="S99" s="14"/>
    </row>
    <row r="100" spans="10:19" x14ac:dyDescent="0.25">
      <c r="J100" s="14"/>
      <c r="K100" s="14"/>
      <c r="L100" s="14"/>
      <c r="M100" s="14"/>
      <c r="N100" s="14"/>
      <c r="O100" s="14"/>
      <c r="P100" s="14"/>
      <c r="Q100" s="14"/>
      <c r="R100" s="14"/>
      <c r="S100" s="14"/>
    </row>
    <row r="101" spans="10:19" x14ac:dyDescent="0.25">
      <c r="J101" s="14"/>
      <c r="K101" s="14"/>
      <c r="L101" s="14"/>
      <c r="M101" s="14"/>
      <c r="N101" s="14"/>
      <c r="O101" s="14"/>
      <c r="P101" s="14"/>
      <c r="Q101" s="14"/>
      <c r="R101" s="14"/>
      <c r="S101" s="14"/>
    </row>
    <row r="102" spans="10:19" x14ac:dyDescent="0.25">
      <c r="J102" s="14"/>
      <c r="K102" s="14"/>
      <c r="L102" s="14"/>
      <c r="M102" s="14"/>
      <c r="N102" s="14"/>
      <c r="O102" s="14"/>
      <c r="P102" s="14"/>
      <c r="Q102" s="14"/>
      <c r="R102" s="14"/>
      <c r="S102" s="14"/>
    </row>
    <row r="103" spans="10:19" x14ac:dyDescent="0.25">
      <c r="J103" s="14"/>
      <c r="K103" s="14"/>
      <c r="L103" s="14"/>
      <c r="M103" s="14"/>
      <c r="N103" s="14"/>
      <c r="O103" s="14"/>
      <c r="P103" s="14"/>
      <c r="Q103" s="14"/>
      <c r="R103" s="14"/>
      <c r="S103" s="14"/>
    </row>
    <row r="104" spans="10:19" x14ac:dyDescent="0.25">
      <c r="J104" s="14"/>
      <c r="K104" s="14"/>
      <c r="L104" s="14"/>
      <c r="M104" s="14"/>
      <c r="N104" s="14"/>
      <c r="O104" s="14"/>
      <c r="P104" s="14"/>
      <c r="Q104" s="14"/>
      <c r="R104" s="14"/>
      <c r="S104" s="14"/>
    </row>
    <row r="105" spans="10:19" x14ac:dyDescent="0.25">
      <c r="J105" s="14"/>
      <c r="K105" s="14"/>
      <c r="L105" s="14"/>
      <c r="M105" s="14"/>
      <c r="N105" s="14"/>
      <c r="O105" s="14"/>
      <c r="P105" s="14"/>
      <c r="Q105" s="14"/>
      <c r="R105" s="14"/>
      <c r="S105" s="14"/>
    </row>
    <row r="106" spans="10:19" x14ac:dyDescent="0.25">
      <c r="J106" s="14"/>
      <c r="K106" s="14"/>
      <c r="L106" s="14"/>
      <c r="M106" s="14"/>
      <c r="N106" s="14"/>
      <c r="O106" s="14"/>
      <c r="P106" s="14"/>
      <c r="Q106" s="14"/>
      <c r="R106" s="14"/>
      <c r="S106" s="14"/>
    </row>
    <row r="107" spans="10:19" x14ac:dyDescent="0.25">
      <c r="J107" s="14"/>
      <c r="K107" s="14"/>
      <c r="L107" s="14"/>
      <c r="M107" s="14"/>
      <c r="N107" s="14"/>
      <c r="O107" s="14"/>
      <c r="P107" s="14"/>
      <c r="Q107" s="14"/>
      <c r="R107" s="14"/>
      <c r="S107" s="14"/>
    </row>
    <row r="108" spans="10:19" x14ac:dyDescent="0.25">
      <c r="J108" s="14"/>
      <c r="K108" s="14"/>
      <c r="L108" s="14"/>
      <c r="M108" s="14"/>
      <c r="N108" s="14"/>
      <c r="O108" s="14"/>
      <c r="P108" s="14"/>
      <c r="Q108" s="14"/>
      <c r="R108" s="14"/>
      <c r="S108" s="14"/>
    </row>
    <row r="109" spans="10:19" x14ac:dyDescent="0.25">
      <c r="J109" s="14"/>
      <c r="K109" s="14"/>
      <c r="L109" s="14"/>
      <c r="M109" s="14"/>
      <c r="N109" s="14"/>
      <c r="O109" s="14"/>
      <c r="P109" s="14"/>
      <c r="Q109" s="14"/>
      <c r="R109" s="14"/>
      <c r="S109" s="14"/>
    </row>
    <row r="110" spans="10:19" x14ac:dyDescent="0.25">
      <c r="J110" s="14"/>
      <c r="K110" s="14"/>
      <c r="L110" s="14"/>
      <c r="M110" s="14"/>
      <c r="N110" s="14"/>
      <c r="O110" s="14"/>
      <c r="P110" s="14"/>
      <c r="Q110" s="14"/>
      <c r="R110" s="14"/>
      <c r="S110" s="14"/>
    </row>
    <row r="111" spans="10:19" x14ac:dyDescent="0.25">
      <c r="J111" s="14"/>
      <c r="K111" s="14"/>
      <c r="L111" s="14"/>
      <c r="M111" s="14"/>
      <c r="N111" s="14"/>
      <c r="O111" s="14"/>
      <c r="P111" s="14"/>
      <c r="Q111" s="14"/>
      <c r="R111" s="14"/>
      <c r="S111" s="14"/>
    </row>
    <row r="112" spans="10:19" x14ac:dyDescent="0.25">
      <c r="J112" s="14"/>
      <c r="K112" s="14"/>
      <c r="L112" s="14"/>
      <c r="M112" s="14"/>
      <c r="N112" s="14"/>
      <c r="O112" s="14"/>
      <c r="P112" s="14"/>
      <c r="Q112" s="14"/>
      <c r="R112" s="14"/>
      <c r="S112" s="14"/>
    </row>
    <row r="113" spans="10:19" x14ac:dyDescent="0.25">
      <c r="J113" s="14"/>
      <c r="K113" s="14"/>
      <c r="L113" s="14"/>
      <c r="M113" s="14"/>
      <c r="N113" s="14"/>
      <c r="O113" s="14"/>
      <c r="P113" s="14"/>
      <c r="Q113" s="14"/>
      <c r="R113" s="14"/>
      <c r="S113" s="14"/>
    </row>
    <row r="114" spans="10:19" x14ac:dyDescent="0.25">
      <c r="J114" s="14"/>
      <c r="K114" s="14"/>
      <c r="L114" s="14"/>
      <c r="M114" s="14"/>
      <c r="N114" s="14"/>
      <c r="O114" s="14"/>
      <c r="P114" s="14"/>
      <c r="Q114" s="14"/>
      <c r="R114" s="14"/>
      <c r="S114" s="14"/>
    </row>
    <row r="115" spans="10:19" x14ac:dyDescent="0.25">
      <c r="J115" s="14"/>
      <c r="K115" s="14"/>
      <c r="L115" s="14"/>
      <c r="M115" s="14"/>
      <c r="N115" s="14"/>
      <c r="O115" s="14"/>
      <c r="P115" s="14"/>
      <c r="Q115" s="14"/>
      <c r="R115" s="14"/>
      <c r="S115" s="14"/>
    </row>
    <row r="116" spans="10:19" x14ac:dyDescent="0.25">
      <c r="J116" s="14"/>
      <c r="K116" s="14"/>
      <c r="L116" s="14"/>
      <c r="M116" s="14"/>
      <c r="N116" s="14"/>
      <c r="O116" s="14"/>
      <c r="P116" s="14"/>
      <c r="Q116" s="14"/>
      <c r="R116" s="14"/>
      <c r="S116" s="14"/>
    </row>
    <row r="117" spans="10:19" x14ac:dyDescent="0.25">
      <c r="J117" s="14"/>
      <c r="K117" s="14"/>
      <c r="L117" s="14"/>
      <c r="M117" s="14"/>
      <c r="N117" s="14"/>
      <c r="O117" s="14"/>
      <c r="P117" s="14"/>
      <c r="Q117" s="14"/>
      <c r="R117" s="14"/>
      <c r="S117" s="14"/>
    </row>
    <row r="118" spans="10:19" x14ac:dyDescent="0.25">
      <c r="J118" s="14"/>
      <c r="K118" s="14"/>
      <c r="L118" s="14"/>
      <c r="M118" s="14"/>
      <c r="N118" s="14"/>
      <c r="O118" s="14"/>
      <c r="P118" s="14"/>
      <c r="Q118" s="14"/>
      <c r="R118" s="14"/>
      <c r="S118" s="14"/>
    </row>
    <row r="129" s="1" customFormat="1" x14ac:dyDescent="0.25"/>
    <row r="130" s="1" customFormat="1" x14ac:dyDescent="0.25"/>
    <row r="131" s="1" customFormat="1" x14ac:dyDescent="0.25"/>
    <row r="132" s="1" customFormat="1" x14ac:dyDescent="0.25"/>
    <row r="133" s="1" customFormat="1" x14ac:dyDescent="0.25"/>
    <row r="134" s="1" customFormat="1" x14ac:dyDescent="0.25"/>
    <row r="135" s="1" customFormat="1" x14ac:dyDescent="0.25"/>
    <row r="136" s="1" customFormat="1" x14ac:dyDescent="0.25"/>
    <row r="137" s="1" customFormat="1" x14ac:dyDescent="0.25"/>
    <row r="138" s="1" customFormat="1" x14ac:dyDescent="0.25"/>
    <row r="139" s="1" customFormat="1" x14ac:dyDescent="0.25"/>
    <row r="140" s="1" customFormat="1" x14ac:dyDescent="0.25"/>
    <row r="141" s="1" customFormat="1" x14ac:dyDescent="0.25"/>
    <row r="142" s="1" customFormat="1" x14ac:dyDescent="0.25"/>
    <row r="143" s="1" customFormat="1" x14ac:dyDescent="0.25"/>
    <row r="144" s="1" customFormat="1" x14ac:dyDescent="0.25"/>
    <row r="145" s="1" customFormat="1" x14ac:dyDescent="0.25"/>
    <row r="146" s="1" customFormat="1" x14ac:dyDescent="0.25"/>
    <row r="147" s="1" customFormat="1" x14ac:dyDescent="0.25"/>
    <row r="148" s="1" customFormat="1" x14ac:dyDescent="0.25"/>
    <row r="149" s="1" customFormat="1" x14ac:dyDescent="0.25"/>
    <row r="150" s="1" customFormat="1" x14ac:dyDescent="0.25"/>
    <row r="151" s="1" customFormat="1" x14ac:dyDescent="0.25"/>
    <row r="152" s="1" customFormat="1" x14ac:dyDescent="0.25"/>
    <row r="153" s="1" customFormat="1" x14ac:dyDescent="0.25"/>
    <row r="154" s="1" customFormat="1" x14ac:dyDescent="0.25"/>
    <row r="155" s="1" customFormat="1" x14ac:dyDescent="0.25"/>
    <row r="156" s="1" customFormat="1" x14ac:dyDescent="0.25"/>
    <row r="157" s="1" customFormat="1" x14ac:dyDescent="0.25"/>
    <row r="158" s="1" customFormat="1" x14ac:dyDescent="0.25"/>
    <row r="159" s="1" customFormat="1" x14ac:dyDescent="0.25"/>
    <row r="160" s="1" customFormat="1" x14ac:dyDescent="0.25"/>
    <row r="161" s="1" customFormat="1" x14ac:dyDescent="0.25"/>
    <row r="162" s="1" customFormat="1" x14ac:dyDescent="0.25"/>
    <row r="163" s="1" customFormat="1" x14ac:dyDescent="0.25"/>
    <row r="164" s="1" customFormat="1" x14ac:dyDescent="0.25"/>
    <row r="165" s="1" customFormat="1" x14ac:dyDescent="0.25"/>
    <row r="166" s="1" customFormat="1" x14ac:dyDescent="0.25"/>
    <row r="167" s="1" customFormat="1" x14ac:dyDescent="0.25"/>
    <row r="168" s="1" customFormat="1" x14ac:dyDescent="0.25"/>
    <row r="169" s="1" customFormat="1" x14ac:dyDescent="0.25"/>
    <row r="170" s="1" customFormat="1" x14ac:dyDescent="0.25"/>
    <row r="171" s="1" customFormat="1" x14ac:dyDescent="0.25"/>
    <row r="172" s="1" customFormat="1" x14ac:dyDescent="0.25"/>
    <row r="173" s="1" customFormat="1" x14ac:dyDescent="0.25"/>
    <row r="174" s="1" customFormat="1" x14ac:dyDescent="0.25"/>
    <row r="175" s="1" customFormat="1" x14ac:dyDescent="0.25"/>
    <row r="176" s="1" customFormat="1" x14ac:dyDescent="0.25"/>
    <row r="177" s="1" customFormat="1" x14ac:dyDescent="0.25"/>
    <row r="178" s="1" customFormat="1" x14ac:dyDescent="0.25"/>
    <row r="179" s="1" customFormat="1" x14ac:dyDescent="0.25"/>
    <row r="180" s="1" customFormat="1" x14ac:dyDescent="0.25"/>
    <row r="181" s="1" customFormat="1" x14ac:dyDescent="0.25"/>
    <row r="182" s="1" customFormat="1" x14ac:dyDescent="0.25"/>
    <row r="183" s="1" customFormat="1" x14ac:dyDescent="0.25"/>
    <row r="184" s="1" customFormat="1" x14ac:dyDescent="0.25"/>
    <row r="185" s="1" customFormat="1" x14ac:dyDescent="0.25"/>
    <row r="186" s="1" customFormat="1" x14ac:dyDescent="0.25"/>
    <row r="187" s="1" customFormat="1" x14ac:dyDescent="0.25"/>
    <row r="188" s="1" customFormat="1" x14ac:dyDescent="0.25"/>
    <row r="189" s="1" customFormat="1" x14ac:dyDescent="0.25"/>
    <row r="190" s="1" customFormat="1" x14ac:dyDescent="0.25"/>
    <row r="191" s="1" customFormat="1" x14ac:dyDescent="0.25"/>
    <row r="192" s="1" customFormat="1" x14ac:dyDescent="0.25"/>
    <row r="193" s="1" customFormat="1" x14ac:dyDescent="0.25"/>
    <row r="194" s="1" customFormat="1" x14ac:dyDescent="0.25"/>
    <row r="195" s="1" customFormat="1" x14ac:dyDescent="0.25"/>
    <row r="196" s="1" customFormat="1" x14ac:dyDescent="0.25"/>
    <row r="197" s="1" customFormat="1" x14ac:dyDescent="0.25"/>
    <row r="198" s="1" customFormat="1" x14ac:dyDescent="0.25"/>
    <row r="199" s="1" customFormat="1" x14ac:dyDescent="0.25"/>
    <row r="200" s="1" customFormat="1" x14ac:dyDescent="0.25"/>
    <row r="201" s="1" customFormat="1" x14ac:dyDescent="0.25"/>
    <row r="202" s="1" customFormat="1" x14ac:dyDescent="0.25"/>
    <row r="203" s="1" customFormat="1" x14ac:dyDescent="0.25"/>
    <row r="204" s="1" customFormat="1" x14ac:dyDescent="0.25"/>
    <row r="205" s="1" customFormat="1" x14ac:dyDescent="0.25"/>
    <row r="206" s="1" customFormat="1" x14ac:dyDescent="0.25"/>
    <row r="207" s="1" customFormat="1" x14ac:dyDescent="0.25"/>
    <row r="208" s="1" customFormat="1" x14ac:dyDescent="0.25"/>
    <row r="209" s="1" customFormat="1" x14ac:dyDescent="0.25"/>
    <row r="210" s="1" customFormat="1" x14ac:dyDescent="0.25"/>
    <row r="211" s="1" customFormat="1" x14ac:dyDescent="0.25"/>
    <row r="212" s="1" customFormat="1" x14ac:dyDescent="0.25"/>
    <row r="213" s="1" customFormat="1" x14ac:dyDescent="0.25"/>
    <row r="214" s="1" customFormat="1" x14ac:dyDescent="0.25"/>
    <row r="215" s="1" customFormat="1" x14ac:dyDescent="0.25"/>
    <row r="216" s="1" customFormat="1" x14ac:dyDescent="0.25"/>
    <row r="217" s="1" customFormat="1" x14ac:dyDescent="0.25"/>
    <row r="218" s="1" customFormat="1" x14ac:dyDescent="0.25"/>
    <row r="219" s="1" customFormat="1" x14ac:dyDescent="0.25"/>
    <row r="220" s="1" customFormat="1" x14ac:dyDescent="0.25"/>
    <row r="221" s="1" customFormat="1" x14ac:dyDescent="0.25"/>
    <row r="222" s="1" customFormat="1" x14ac:dyDescent="0.25"/>
    <row r="223" s="1" customFormat="1" x14ac:dyDescent="0.25"/>
    <row r="224" s="1" customFormat="1" x14ac:dyDescent="0.25"/>
    <row r="225" s="1" customFormat="1" x14ac:dyDescent="0.25"/>
    <row r="226" s="1" customFormat="1" x14ac:dyDescent="0.25"/>
    <row r="227" s="1" customFormat="1" x14ac:dyDescent="0.25"/>
    <row r="228" s="1" customFormat="1" x14ac:dyDescent="0.25"/>
    <row r="229" s="1" customFormat="1" x14ac:dyDescent="0.25"/>
    <row r="230" s="1" customFormat="1" x14ac:dyDescent="0.25"/>
    <row r="231" s="1" customFormat="1" x14ac:dyDescent="0.25"/>
    <row r="232" s="1" customFormat="1" x14ac:dyDescent="0.25"/>
    <row r="233" s="1" customFormat="1" x14ac:dyDescent="0.25"/>
    <row r="234" s="1" customFormat="1" x14ac:dyDescent="0.25"/>
    <row r="235" s="1" customFormat="1" x14ac:dyDescent="0.25"/>
    <row r="236" s="1" customFormat="1" x14ac:dyDescent="0.25"/>
    <row r="237" s="1" customFormat="1" x14ac:dyDescent="0.25"/>
    <row r="238" s="1" customFormat="1" x14ac:dyDescent="0.25"/>
    <row r="239" s="1" customFormat="1" x14ac:dyDescent="0.25"/>
    <row r="240" s="1" customFormat="1" x14ac:dyDescent="0.25"/>
    <row r="241" s="1" customFormat="1" x14ac:dyDescent="0.25"/>
    <row r="242" s="1" customFormat="1" x14ac:dyDescent="0.25"/>
    <row r="243" s="1" customFormat="1" x14ac:dyDescent="0.25"/>
    <row r="244" s="1" customFormat="1" x14ac:dyDescent="0.25"/>
    <row r="245" s="1" customFormat="1" x14ac:dyDescent="0.25"/>
    <row r="246" s="1" customFormat="1" x14ac:dyDescent="0.25"/>
    <row r="247" s="1" customFormat="1" x14ac:dyDescent="0.25"/>
    <row r="248" s="1" customFormat="1" x14ac:dyDescent="0.25"/>
    <row r="249" s="1" customFormat="1" x14ac:dyDescent="0.25"/>
    <row r="250" s="1" customFormat="1" x14ac:dyDescent="0.25"/>
    <row r="251" s="1" customFormat="1" x14ac:dyDescent="0.25"/>
    <row r="252" s="1" customFormat="1" x14ac:dyDescent="0.25"/>
    <row r="253" s="1" customFormat="1" x14ac:dyDescent="0.25"/>
    <row r="254" s="1" customFormat="1" x14ac:dyDescent="0.25"/>
    <row r="255" s="1" customFormat="1" x14ac:dyDescent="0.25"/>
    <row r="256" s="1" customFormat="1" x14ac:dyDescent="0.25"/>
    <row r="257" s="1" customFormat="1" x14ac:dyDescent="0.25"/>
    <row r="258" s="1" customFormat="1" x14ac:dyDescent="0.25"/>
    <row r="259" s="1" customFormat="1" x14ac:dyDescent="0.25"/>
    <row r="260" s="1" customFormat="1" x14ac:dyDescent="0.25"/>
    <row r="261" s="1" customFormat="1" x14ac:dyDescent="0.25"/>
    <row r="262" s="1" customFormat="1" x14ac:dyDescent="0.25"/>
    <row r="263" s="1" customFormat="1" x14ac:dyDescent="0.25"/>
    <row r="264" s="1" customFormat="1" x14ac:dyDescent="0.25"/>
    <row r="265" s="1" customFormat="1" x14ac:dyDescent="0.25"/>
    <row r="266" s="1" customFormat="1" x14ac:dyDescent="0.25"/>
    <row r="267" s="1" customFormat="1" x14ac:dyDescent="0.25"/>
    <row r="268" s="1" customFormat="1" x14ac:dyDescent="0.25"/>
    <row r="269" s="1" customFormat="1" x14ac:dyDescent="0.25"/>
    <row r="270" s="1" customFormat="1" x14ac:dyDescent="0.25"/>
    <row r="271" s="1" customFormat="1" x14ac:dyDescent="0.25"/>
    <row r="272" s="1" customFormat="1" x14ac:dyDescent="0.25"/>
    <row r="273" s="1" customFormat="1" x14ac:dyDescent="0.25"/>
    <row r="274" s="1" customFormat="1" x14ac:dyDescent="0.25"/>
    <row r="275" s="1" customFormat="1" x14ac:dyDescent="0.25"/>
    <row r="276" s="1" customFormat="1" x14ac:dyDescent="0.25"/>
    <row r="277" s="1" customFormat="1" x14ac:dyDescent="0.25"/>
  </sheetData>
  <sheetProtection formatCells="0" formatColumns="0" formatRows="0" insertColumns="0" insertRows="0" insertHyperlinks="0" deleteColumns="0" deleteRows="0" sort="0" autoFilter="0" pivotTables="0"/>
  <mergeCells count="36">
    <mergeCell ref="L5:O5"/>
    <mergeCell ref="B2:D4"/>
    <mergeCell ref="E43:F43"/>
    <mergeCell ref="E53:F53"/>
    <mergeCell ref="E3:F3"/>
    <mergeCell ref="E2:F2"/>
    <mergeCell ref="E4:G4"/>
    <mergeCell ref="L7:O7"/>
    <mergeCell ref="L4:O4"/>
    <mergeCell ref="L6:O6"/>
    <mergeCell ref="L11:O11"/>
    <mergeCell ref="O26:T33"/>
    <mergeCell ref="Q6:T6"/>
    <mergeCell ref="D10:G10"/>
    <mergeCell ref="B5:C5"/>
    <mergeCell ref="B6:C6"/>
    <mergeCell ref="B7:C7"/>
    <mergeCell ref="L8:O8"/>
    <mergeCell ref="L9:O9"/>
    <mergeCell ref="L10:O10"/>
    <mergeCell ref="B8:C8"/>
    <mergeCell ref="B9:C9"/>
    <mergeCell ref="B10:C10"/>
    <mergeCell ref="D5:G5"/>
    <mergeCell ref="D6:G6"/>
    <mergeCell ref="D7:G7"/>
    <mergeCell ref="D8:G8"/>
    <mergeCell ref="D9:G9"/>
    <mergeCell ref="Q12:T12"/>
    <mergeCell ref="Q13:T13"/>
    <mergeCell ref="Q14:T14"/>
    <mergeCell ref="Q7:T7"/>
    <mergeCell ref="Q8:T8"/>
    <mergeCell ref="Q9:T9"/>
    <mergeCell ref="Q10:T10"/>
    <mergeCell ref="Q11:T11"/>
  </mergeCells>
  <hyperlinks>
    <hyperlink ref="C79" r:id="rId1" display="michal@kopl.pro" xr:uid="{03D0D9F7-F9C1-47D9-99E8-66C4E7A98A34}"/>
    <hyperlink ref="L11" r:id="rId2" xr:uid="{1EB878BA-3E30-46E3-A8DF-D2D0921EFE8F}"/>
    <hyperlink ref="Q11" r:id="rId3" xr:uid="{D87CFEA0-0FCD-4BF4-B76D-0384A5DAEBAE}"/>
    <hyperlink ref="Q14" r:id="rId4" xr:uid="{CC41383F-F481-4FBF-8FF4-8E8BF0573C19}"/>
    <hyperlink ref="U13" r:id="rId5" display="IBAN Kalkulátor" xr:uid="{1B51A204-7CDC-4155-AD6E-8D8A9A16A74F}"/>
  </hyperlinks>
  <printOptions horizontalCentered="1" verticalCentered="1"/>
  <pageMargins left="0.23622047244094491" right="0.23622047244094491" top="0.19685039370078741" bottom="0.19685039370078741" header="0.31496062992125984" footer="0.31496062992125984"/>
  <pageSetup paperSize="9" scale="65" orientation="portrait" r:id="rId6"/>
  <headerFooter alignWithMargins="0"/>
  <ignoredErrors>
    <ignoredError sqref="L10 Q10" unlockedFormula="1"/>
  </ignoredErrors>
  <drawing r:id="rId7"/>
  <tableParts count="4">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A81DE-9ED3-4942-B5A4-EEE9DE9CAAFF}">
  <sheetPr codeName="Sheet2">
    <pageSetUpPr fitToPage="1"/>
  </sheetPr>
  <dimension ref="A1:CC277"/>
  <sheetViews>
    <sheetView topLeftCell="A45" zoomScaleNormal="100" zoomScalePageLayoutView="25" workbookViewId="0">
      <selection activeCell="M66" sqref="M66"/>
    </sheetView>
  </sheetViews>
  <sheetFormatPr defaultColWidth="9.140625" defaultRowHeight="14.25" x14ac:dyDescent="0.25"/>
  <cols>
    <col min="1" max="2" width="3.28515625" style="1" customWidth="1"/>
    <col min="3" max="3" width="77.5703125" style="1" bestFit="1" customWidth="1"/>
    <col min="4" max="4" width="13.28515625" style="1" customWidth="1"/>
    <col min="5" max="5" width="20.42578125" style="1" customWidth="1"/>
    <col min="6" max="6" width="13.42578125" style="1" bestFit="1" customWidth="1"/>
    <col min="7" max="7" width="15.7109375" style="1" customWidth="1"/>
    <col min="8" max="9" width="3.28515625" style="1" customWidth="1"/>
    <col min="10" max="11" width="9.140625" style="1"/>
    <col min="12" max="12" width="9.5703125" style="1" customWidth="1"/>
    <col min="13" max="13" width="32.7109375" style="1" bestFit="1" customWidth="1"/>
    <col min="14" max="14" width="2.140625" style="1" customWidth="1"/>
    <col min="15" max="15" width="24.28515625" style="1" customWidth="1"/>
    <col min="16" max="16" width="2.28515625" style="1" customWidth="1"/>
    <col min="17" max="19" width="9.140625" style="1"/>
    <col min="20" max="20" width="21.28515625" style="1" customWidth="1"/>
    <col min="21" max="25" width="9.140625" style="1"/>
    <col min="26" max="26" width="14.42578125" style="1" bestFit="1" customWidth="1"/>
    <col min="27" max="16384" width="9.140625" style="1"/>
  </cols>
  <sheetData>
    <row r="1" spans="1:26" ht="21" thickBot="1" x14ac:dyDescent="0.3">
      <c r="A1" s="21"/>
      <c r="B1" s="21"/>
      <c r="C1" s="21"/>
      <c r="D1" s="21"/>
      <c r="E1" s="21"/>
      <c r="F1" s="21"/>
      <c r="G1" s="21"/>
      <c r="H1" s="21"/>
      <c r="I1" s="21"/>
      <c r="L1" s="13"/>
      <c r="M1" s="13"/>
      <c r="N1" s="13"/>
      <c r="O1" s="13"/>
      <c r="P1" s="13"/>
    </row>
    <row r="2" spans="1:26" ht="21" customHeight="1" thickTop="1" x14ac:dyDescent="0.25">
      <c r="A2" s="21"/>
      <c r="B2" s="168" t="str" cm="1">
        <f t="array" ref="B2">"INVOICE " &amp; TEXT(((LEFT(TEXT((MAX(VALUE(Issued!D14:D79))),"#0000000"),3)*1)+1)&amp;RIGHT(TEXT((MAX(VALUE(Issued!D14:D79))),"#0000000"),4),"#0000000")</f>
        <v>INVOICE 0262023</v>
      </c>
      <c r="C2" s="168"/>
      <c r="D2" s="169"/>
      <c r="E2" s="176" t="s">
        <v>3</v>
      </c>
      <c r="F2" s="177"/>
      <c r="G2" s="22">
        <f ca="1">Offer!G2</f>
        <v>45074</v>
      </c>
      <c r="H2" s="23"/>
      <c r="I2" s="21"/>
      <c r="T2" s="17"/>
    </row>
    <row r="3" spans="1:26" ht="21" customHeight="1" x14ac:dyDescent="0.25">
      <c r="A3" s="21"/>
      <c r="B3" s="168"/>
      <c r="C3" s="168"/>
      <c r="D3" s="169"/>
      <c r="E3" s="174" t="s">
        <v>4</v>
      </c>
      <c r="F3" s="175"/>
      <c r="G3" s="25">
        <f ca="1">Offer!G3</f>
        <v>45104</v>
      </c>
      <c r="H3" s="26"/>
      <c r="I3" s="21"/>
      <c r="T3" s="17"/>
    </row>
    <row r="4" spans="1:26" ht="15.75" customHeight="1" thickBot="1" x14ac:dyDescent="0.3">
      <c r="A4" s="21"/>
      <c r="B4" s="168"/>
      <c r="C4" s="168"/>
      <c r="D4" s="169"/>
      <c r="E4" s="178" t="str">
        <f>"Project name: "&amp;Offer!L5</f>
        <v>Project name: Gingerbread 2023</v>
      </c>
      <c r="F4" s="179"/>
      <c r="G4" s="179"/>
      <c r="H4" s="27"/>
      <c r="I4" s="21"/>
      <c r="L4" s="180"/>
      <c r="M4" s="180"/>
      <c r="N4" s="180"/>
      <c r="O4" s="180"/>
    </row>
    <row r="5" spans="1:26" ht="15" customHeight="1" thickTop="1" x14ac:dyDescent="0.25">
      <c r="A5" s="21"/>
      <c r="B5" s="156" t="str">
        <f>"      The supplier:"</f>
        <v xml:space="preserve">      The supplier:</v>
      </c>
      <c r="C5" s="186"/>
      <c r="D5" s="156" t="str">
        <f>"      The customer:"</f>
        <v xml:space="preserve">      The customer:</v>
      </c>
      <c r="E5" s="157"/>
      <c r="F5" s="157"/>
      <c r="G5" s="157"/>
      <c r="H5" s="23"/>
      <c r="I5" s="21"/>
      <c r="L5" s="187"/>
      <c r="M5" s="187"/>
      <c r="N5" s="187"/>
      <c r="O5" s="187"/>
      <c r="Z5" s="5"/>
    </row>
    <row r="6" spans="1:26" ht="15" customHeight="1" x14ac:dyDescent="0.25">
      <c r="A6" s="21"/>
      <c r="B6" s="160" t="str">
        <f>"      "&amp;Offer!Q7</f>
        <v xml:space="preserve">      John Doe</v>
      </c>
      <c r="C6" s="161"/>
      <c r="D6" s="158" t="str">
        <f>Offer!D6</f>
        <v xml:space="preserve">      Peter Gingerbread</v>
      </c>
      <c r="E6" s="159"/>
      <c r="F6" s="159"/>
      <c r="G6" s="159"/>
      <c r="H6" s="26"/>
      <c r="I6" s="21"/>
      <c r="L6" s="181"/>
      <c r="M6" s="181"/>
      <c r="N6" s="181"/>
      <c r="O6" s="181"/>
      <c r="Q6" s="183"/>
      <c r="R6" s="183"/>
      <c r="S6" s="183"/>
      <c r="T6" s="183"/>
    </row>
    <row r="7" spans="1:26" ht="15" customHeight="1" x14ac:dyDescent="0.25">
      <c r="A7" s="21"/>
      <c r="B7" s="160" t="str">
        <f>"      "&amp;Offer!Q8&amp;", "&amp;Offer!Q9</f>
        <v xml:space="preserve">      Doe Road 1234/16, San Francisco - Inner city, CA, 902 10</v>
      </c>
      <c r="C7" s="161"/>
      <c r="D7" s="158" t="str">
        <f>Offer!D7</f>
        <v xml:space="preserve">      Siemens road 2240/19</v>
      </c>
      <c r="E7" s="159"/>
      <c r="F7" s="159"/>
      <c r="G7" s="159"/>
      <c r="H7" s="26"/>
      <c r="I7" s="21"/>
      <c r="L7" s="187"/>
      <c r="M7" s="187"/>
      <c r="N7" s="187"/>
      <c r="O7" s="187"/>
      <c r="Q7" s="187"/>
      <c r="R7" s="187"/>
      <c r="S7" s="187"/>
      <c r="T7" s="187"/>
    </row>
    <row r="8" spans="1:26" ht="15" customHeight="1" x14ac:dyDescent="0.25">
      <c r="A8" s="21"/>
      <c r="B8" s="160" t="str">
        <f>"      "&amp;Offer!Q10&amp;"  /  "&amp;Offer!Q11</f>
        <v xml:space="preserve">      +1.999.999.999.999  /  john.doe@does-incorporated.com</v>
      </c>
      <c r="C8" s="161"/>
      <c r="D8" s="158" t="str">
        <f>Offer!D8</f>
        <v xml:space="preserve">      Prague 5 - Stodulky, Czech Republic</v>
      </c>
      <c r="E8" s="159"/>
      <c r="F8" s="159"/>
      <c r="G8" s="159"/>
      <c r="H8" s="26"/>
      <c r="I8" s="21"/>
      <c r="L8" s="187"/>
      <c r="M8" s="187"/>
      <c r="N8" s="187"/>
      <c r="O8" s="187"/>
      <c r="Q8" s="187"/>
      <c r="R8" s="187"/>
      <c r="S8" s="187"/>
      <c r="T8" s="187"/>
    </row>
    <row r="9" spans="1:26" ht="15" customHeight="1" x14ac:dyDescent="0.25">
      <c r="A9" s="21"/>
      <c r="B9" s="160" t="str">
        <f>"      "&amp;"b.a.: "&amp;Offer!Q12&amp;"      IBAN: "&amp;Offer!Q13</f>
        <v xml:space="preserve">      b.a.: 670100-2200921129/6210      IBAN: CZ2062106701002200921129</v>
      </c>
      <c r="C9" s="161"/>
      <c r="D9" s="158" t="str">
        <f>Offer!D9</f>
        <v xml:space="preserve">      tel.: +420.222.111.333</v>
      </c>
      <c r="E9" s="159"/>
      <c r="F9" s="159"/>
      <c r="G9" s="159"/>
      <c r="H9" s="26"/>
      <c r="I9" s="21"/>
      <c r="L9" s="188"/>
      <c r="M9" s="188"/>
      <c r="N9" s="188"/>
      <c r="O9" s="188"/>
      <c r="P9" s="10"/>
      <c r="Q9" s="187"/>
      <c r="R9" s="187"/>
      <c r="S9" s="187"/>
      <c r="T9" s="187"/>
    </row>
    <row r="10" spans="1:26" ht="15" customHeight="1" x14ac:dyDescent="0.25">
      <c r="A10" s="21"/>
      <c r="B10" s="160" t="str">
        <f>"      "&amp;Offer!Q14</f>
        <v xml:space="preserve">      https://www.johndoe.com</v>
      </c>
      <c r="C10" s="161"/>
      <c r="D10" s="158" t="str">
        <f>Offer!D10</f>
        <v xml:space="preserve">      e-mail: peter.gingerbread@yahoo.com</v>
      </c>
      <c r="E10" s="159"/>
      <c r="F10" s="159"/>
      <c r="G10" s="159"/>
      <c r="H10" s="26"/>
      <c r="I10" s="21"/>
      <c r="L10" s="187"/>
      <c r="M10" s="187"/>
      <c r="N10" s="187"/>
      <c r="O10" s="187"/>
      <c r="Q10" s="187"/>
      <c r="R10" s="187"/>
      <c r="S10" s="187"/>
      <c r="T10" s="187"/>
    </row>
    <row r="11" spans="1:26" ht="15" customHeight="1" thickBot="1" x14ac:dyDescent="0.3">
      <c r="A11" s="21"/>
      <c r="B11" s="31"/>
      <c r="C11" s="20"/>
      <c r="D11" s="28"/>
      <c r="E11" s="21"/>
      <c r="F11" s="32"/>
      <c r="G11" s="32"/>
      <c r="H11" s="26"/>
      <c r="I11" s="21"/>
      <c r="L11" s="189"/>
      <c r="M11" s="187"/>
      <c r="N11" s="187"/>
      <c r="O11" s="187"/>
      <c r="Q11" s="189"/>
      <c r="R11" s="187"/>
      <c r="S11" s="187"/>
      <c r="T11" s="187"/>
    </row>
    <row r="12" spans="1:26" ht="15" customHeight="1" thickTop="1" x14ac:dyDescent="0.25">
      <c r="A12" s="21"/>
      <c r="B12" s="33"/>
      <c r="C12" s="34"/>
      <c r="D12" s="35"/>
      <c r="E12" s="35"/>
      <c r="F12" s="36"/>
      <c r="G12" s="36"/>
      <c r="H12" s="23"/>
      <c r="I12" s="21"/>
      <c r="Q12" s="187"/>
      <c r="R12" s="187"/>
      <c r="S12" s="187"/>
      <c r="T12" s="187"/>
    </row>
    <row r="13" spans="1:26" ht="15" customHeight="1" x14ac:dyDescent="0.25">
      <c r="A13" s="21"/>
      <c r="B13" s="28"/>
      <c r="C13" s="24"/>
      <c r="D13" s="30"/>
      <c r="E13" s="30"/>
      <c r="F13" s="32"/>
      <c r="G13" s="32"/>
      <c r="H13" s="26"/>
      <c r="I13" s="21"/>
      <c r="Q13" s="187"/>
      <c r="R13" s="187"/>
      <c r="S13" s="187"/>
      <c r="T13" s="187"/>
      <c r="U13" s="19"/>
    </row>
    <row r="14" spans="1:26" ht="15" customHeight="1" x14ac:dyDescent="0.25">
      <c r="A14" s="21"/>
      <c r="B14" s="28"/>
      <c r="C14" s="21"/>
      <c r="D14" s="37"/>
      <c r="E14" s="29"/>
      <c r="F14" s="32"/>
      <c r="G14" s="32"/>
      <c r="H14" s="26"/>
      <c r="I14" s="21"/>
      <c r="Q14" s="189"/>
      <c r="R14" s="187"/>
      <c r="S14" s="187"/>
      <c r="T14" s="187"/>
    </row>
    <row r="15" spans="1:26" ht="15" customHeight="1" x14ac:dyDescent="0.25">
      <c r="A15" s="21"/>
      <c r="B15" s="28"/>
      <c r="C15" s="38" t="s">
        <v>5</v>
      </c>
      <c r="D15" s="39" t="s">
        <v>6</v>
      </c>
      <c r="E15" s="40" t="s">
        <v>7</v>
      </c>
      <c r="F15" s="41"/>
      <c r="G15" s="32"/>
      <c r="H15" s="26"/>
      <c r="I15" s="21"/>
      <c r="L15" s="11"/>
      <c r="T15" s="6"/>
    </row>
    <row r="16" spans="1:26" ht="15" customHeight="1" x14ac:dyDescent="0.25">
      <c r="A16" s="21"/>
      <c r="B16" s="28"/>
      <c r="C16" s="21" t="str">
        <f>Offer!C16</f>
        <v>Siemens road 2240/19, Prague 5 - Stodulky, Czech Republic</v>
      </c>
      <c r="D16" s="42">
        <f ca="1">Offer!G3</f>
        <v>45104</v>
      </c>
      <c r="E16" s="43" t="str">
        <f>IF(Offer!L16=1,Offer!L16&amp;" working day",IF(AND(Offer!L16&gt;1,Offer!L16&lt;5),Offer!L16&amp;" working days",Offer!L16&amp;" working days"))</f>
        <v>30 working days</v>
      </c>
      <c r="F16" s="44"/>
      <c r="G16" s="32"/>
      <c r="H16" s="26"/>
      <c r="I16" s="21"/>
      <c r="L16" s="79"/>
      <c r="M16" s="11"/>
      <c r="T16" s="6"/>
    </row>
    <row r="17" spans="1:23" ht="15" customHeight="1" x14ac:dyDescent="0.25">
      <c r="A17" s="21"/>
      <c r="B17" s="28"/>
      <c r="C17" s="21"/>
      <c r="D17" s="45"/>
      <c r="E17" s="29"/>
      <c r="F17" s="32"/>
      <c r="G17" s="32"/>
      <c r="H17" s="26"/>
      <c r="I17" s="21"/>
      <c r="T17" s="7"/>
    </row>
    <row r="18" spans="1:23" ht="15" customHeight="1" x14ac:dyDescent="0.25">
      <c r="A18" s="21"/>
      <c r="B18" s="28"/>
      <c r="C18" s="38"/>
      <c r="D18" s="38"/>
      <c r="E18" s="46"/>
      <c r="F18" s="32"/>
      <c r="G18" s="32"/>
      <c r="H18" s="26"/>
      <c r="I18" s="21"/>
    </row>
    <row r="19" spans="1:23" ht="15" customHeight="1" x14ac:dyDescent="0.25">
      <c r="A19" s="21"/>
      <c r="B19" s="28"/>
      <c r="C19" s="21" t="s">
        <v>8</v>
      </c>
      <c r="D19" s="47" t="s">
        <v>9</v>
      </c>
      <c r="E19" s="43" t="s">
        <v>10</v>
      </c>
      <c r="F19" s="48" t="s">
        <v>11</v>
      </c>
      <c r="G19" s="48" t="s">
        <v>12</v>
      </c>
      <c r="H19" s="49"/>
      <c r="I19" s="21"/>
      <c r="L19" s="11"/>
    </row>
    <row r="20" spans="1:23" ht="15" customHeight="1" x14ac:dyDescent="0.25">
      <c r="A20" s="21"/>
      <c r="B20" s="28"/>
      <c r="C20" s="77" t="str">
        <f>IF(Offer!C20&lt;&gt;"",Offer!C20,"")</f>
        <v>404 page for incorrect links/URLs (return page)</v>
      </c>
      <c r="D20" s="47" t="str">
        <f>IF(Offer!D20&lt;&gt;"",Offer!D20,"")</f>
        <v>a page</v>
      </c>
      <c r="E20" s="47">
        <f>IF(Offer!E20&lt;&gt;"",Offer!E20,"")</f>
        <v>1</v>
      </c>
      <c r="F20" s="76">
        <f>IF(Offer!F20&lt;&gt;"",Offer!F20,"")</f>
        <v>2.3562676720075402</v>
      </c>
      <c r="G20" s="76">
        <f>IF(AND((Offer!C20&lt;&gt;""),(Offer!D20&lt;&gt;""),(Offer!E20&lt;&gt;""),(Offer!F20&lt;&gt;"")),(Offer!E20*Offer!F20),"")</f>
        <v>2.3562676720075402</v>
      </c>
      <c r="H20" s="49"/>
      <c r="I20" s="21"/>
      <c r="M20" s="8"/>
      <c r="W20" s="74"/>
    </row>
    <row r="21" spans="1:23" ht="15" customHeight="1" x14ac:dyDescent="0.25">
      <c r="A21" s="21"/>
      <c r="B21" s="28"/>
      <c r="C21" s="77" t="str">
        <f>IF(Offer!C21&lt;&gt;"",Offer!C21,"")</f>
        <v>KeePass password database (*.kdbx) + encryption key to access it</v>
      </c>
      <c r="D21" s="47" t="str">
        <f>IF(Offer!D21&lt;&gt;"",Offer!D21,"")</f>
        <v>a DB</v>
      </c>
      <c r="E21" s="47">
        <f>IF(Offer!E21&lt;&gt;"",Offer!E21,"")</f>
        <v>3</v>
      </c>
      <c r="F21" s="76">
        <f>IF(Offer!F21&lt;&gt;"",Offer!F21,"")</f>
        <v>9.4250706880301607</v>
      </c>
      <c r="G21" s="76">
        <f>IF(AND((Offer!C21&lt;&gt;""),(Offer!D21&lt;&gt;""),(Offer!E21&lt;&gt;""),(Offer!F21&lt;&gt;"")),(Offer!E21*Offer!F21),"")</f>
        <v>28.275212064090482</v>
      </c>
      <c r="H21" s="49"/>
      <c r="I21" s="21"/>
      <c r="M21" s="8"/>
      <c r="W21" s="74"/>
    </row>
    <row r="22" spans="1:23" ht="15" customHeight="1" x14ac:dyDescent="0.25">
      <c r="A22" s="21"/>
      <c r="B22" s="28"/>
      <c r="C22" s="77" t="str">
        <f>IF(Offer!C22&lt;&gt;"",Offer!C22,"")</f>
        <v>Emails + settings on clients + email signature (branding) + GMB banner</v>
      </c>
      <c r="D22" s="47" t="str">
        <f>IF(Offer!D22&lt;&gt;"",Offer!D22,"")</f>
        <v>an e-mail</v>
      </c>
      <c r="E22" s="47">
        <f>IF(Offer!E22&lt;&gt;"",Offer!E22,"")</f>
        <v>2</v>
      </c>
      <c r="F22" s="76">
        <f>IF(Offer!F22&lt;&gt;"",Offer!F22,"")</f>
        <v>9.4250706880301607</v>
      </c>
      <c r="G22" s="76">
        <f>IF(AND((Offer!C22&lt;&gt;""),(Offer!D22&lt;&gt;""),(Offer!E22&lt;&gt;""),(Offer!F22&lt;&gt;"")),(Offer!E22*Offer!F22),"")</f>
        <v>18.850141376060321</v>
      </c>
      <c r="H22" s="49"/>
      <c r="I22" s="21"/>
      <c r="L22" s="11"/>
      <c r="M22" s="8"/>
      <c r="W22" s="74"/>
    </row>
    <row r="23" spans="1:23" ht="15" customHeight="1" x14ac:dyDescent="0.25">
      <c r="A23" s="21"/>
      <c r="B23" s="28"/>
      <c r="C23" s="77" t="str">
        <f>IF(Offer!C23&lt;&gt;"",Offer!C23,"")</f>
        <v>Google Analytics - settings in the template and the access</v>
      </c>
      <c r="D23" s="47" t="str">
        <f>IF(Offer!D23&lt;&gt;"",Offer!D23,"")</f>
        <v>a web</v>
      </c>
      <c r="E23" s="47">
        <f>IF(Offer!E23&lt;&gt;"",Offer!E23,"")</f>
        <v>1</v>
      </c>
      <c r="F23" s="76">
        <f>IF(Offer!F23&lt;&gt;"",Offer!F23,"")</f>
        <v>0.94250706880301605</v>
      </c>
      <c r="G23" s="76">
        <f>IF(AND((Offer!C23&lt;&gt;""),(Offer!D23&lt;&gt;""),(Offer!E23&lt;&gt;""),(Offer!F23&lt;&gt;"")),(Offer!E23*Offer!F23),"")</f>
        <v>0.94250706880301605</v>
      </c>
      <c r="H23" s="49"/>
      <c r="I23" s="21"/>
      <c r="M23" s="8"/>
      <c r="W23" s="74"/>
    </row>
    <row r="24" spans="1:23" ht="15" customHeight="1" x14ac:dyDescent="0.25">
      <c r="A24" s="21"/>
      <c r="B24" s="28"/>
      <c r="C24" s="77" t="str">
        <f>IF(Offer!C24&lt;&gt;"",Offer!C24,"")</f>
        <v>Installation of the editorial system - CMS + access</v>
      </c>
      <c r="D24" s="47" t="str">
        <f>IF(Offer!D24&lt;&gt;"",Offer!D24,"")</f>
        <v>a CMS</v>
      </c>
      <c r="E24" s="47">
        <f>IF(Offer!E24&lt;&gt;"",Offer!E24,"")</f>
        <v>1</v>
      </c>
      <c r="F24" s="76">
        <f>IF(Offer!F24&lt;&gt;"",Offer!F24,"")</f>
        <v>23.562676720075402</v>
      </c>
      <c r="G24" s="76">
        <f>IF(AND((Offer!C24&lt;&gt;""),(Offer!D24&lt;&gt;""),(Offer!E24&lt;&gt;""),(Offer!F24&lt;&gt;"")),(Offer!E24*Offer!F24),"")</f>
        <v>23.562676720075402</v>
      </c>
      <c r="H24" s="49"/>
      <c r="I24" s="21"/>
      <c r="L24" s="11"/>
      <c r="M24" s="8"/>
      <c r="W24" s="74"/>
    </row>
    <row r="25" spans="1:23" ht="15" customHeight="1" x14ac:dyDescent="0.25">
      <c r="A25" s="21"/>
      <c r="B25" s="28"/>
      <c r="C25" s="77" t="str">
        <f>IF(Offer!C25&lt;&gt;"",Offer!C25,"")</f>
        <v>.htaccess configuration + redirect to https protocol + Let's Encrypt</v>
      </c>
      <c r="D25" s="47" t="str">
        <f>IF(Offer!D25&lt;&gt;"",Offer!D25,"")</f>
        <v>a .htaccess</v>
      </c>
      <c r="E25" s="47">
        <f>IF(Offer!E25&lt;&gt;"",Offer!E25,"")</f>
        <v>1</v>
      </c>
      <c r="F25" s="76">
        <f>IF(Offer!F25&lt;&gt;"",Offer!F25,"")</f>
        <v>7.0688030160226205</v>
      </c>
      <c r="G25" s="76">
        <f>IF(AND((Offer!C25&lt;&gt;""),(Offer!D25&lt;&gt;""),(Offer!E25&lt;&gt;""),(Offer!F25&lt;&gt;"")),(Offer!E25*Offer!F25),"")</f>
        <v>7.0688030160226205</v>
      </c>
      <c r="H25" s="49"/>
      <c r="I25" s="21"/>
      <c r="M25" s="8"/>
      <c r="W25" s="74"/>
    </row>
    <row r="26" spans="1:23" ht="15" customHeight="1" x14ac:dyDescent="0.25">
      <c r="A26" s="21"/>
      <c r="B26" s="28"/>
      <c r="C26" s="77" t="str">
        <f>IF(Offer!C26&lt;&gt;"",Offer!C26,"")</f>
        <v>MySQL database configuration - for use in CMS</v>
      </c>
      <c r="D26" s="47" t="str">
        <f>IF(Offer!D26&lt;&gt;"",Offer!D26,"")</f>
        <v>a DB</v>
      </c>
      <c r="E26" s="47">
        <f>IF(Offer!E26&lt;&gt;"",Offer!E26,"")</f>
        <v>1</v>
      </c>
      <c r="F26" s="76">
        <f>IF(Offer!F26&lt;&gt;"",Offer!F26,"")</f>
        <v>9.4250706880301607</v>
      </c>
      <c r="G26" s="76">
        <f>IF(AND((Offer!C26&lt;&gt;""),(Offer!D26&lt;&gt;""),(Offer!E26&lt;&gt;""),(Offer!F26&lt;&gt;"")),(Offer!E26*Offer!F26),"")</f>
        <v>9.4250706880301607</v>
      </c>
      <c r="H26" s="49"/>
      <c r="I26" s="21"/>
      <c r="M26" s="8"/>
      <c r="O26" s="182"/>
      <c r="P26" s="182"/>
      <c r="Q26" s="182"/>
      <c r="R26" s="182"/>
      <c r="S26" s="182"/>
      <c r="T26" s="182"/>
      <c r="W26" s="74"/>
    </row>
    <row r="27" spans="1:23" ht="15" customHeight="1" x14ac:dyDescent="0.25">
      <c r="A27" s="21"/>
      <c r="B27" s="28"/>
      <c r="C27" s="77" t="str">
        <f>IF(Offer!C27&lt;&gt;"",Offer!C27,"")</f>
        <v>Configuration of DNS records (A, AAAA, CNAME, MX, TXT)</v>
      </c>
      <c r="D27" s="47" t="str">
        <f>IF(Offer!D27&lt;&gt;"",Offer!D27,"")</f>
        <v>a record</v>
      </c>
      <c r="E27" s="47">
        <f>IF(Offer!E27&lt;&gt;"",Offer!E27,"")</f>
        <v>1</v>
      </c>
      <c r="F27" s="76">
        <f>IF(Offer!F27&lt;&gt;"",Offer!F27,"")</f>
        <v>4.7125353440150803</v>
      </c>
      <c r="G27" s="76">
        <f>IF(AND((Offer!C27&lt;&gt;""),(Offer!D27&lt;&gt;""),(Offer!E27&lt;&gt;""),(Offer!F27&lt;&gt;"")),(Offer!E27*Offer!F27),"")</f>
        <v>4.7125353440150803</v>
      </c>
      <c r="H27" s="49"/>
      <c r="I27" s="21"/>
      <c r="M27" s="8"/>
      <c r="O27" s="182"/>
      <c r="P27" s="182"/>
      <c r="Q27" s="182"/>
      <c r="R27" s="182"/>
      <c r="S27" s="182"/>
      <c r="T27" s="182"/>
      <c r="W27" s="74"/>
    </row>
    <row r="28" spans="1:23" ht="15" customHeight="1" x14ac:dyDescent="0.25">
      <c r="A28" s="21"/>
      <c r="B28" s="28"/>
      <c r="C28" s="77" t="str">
        <f>IF(Offer!C28&lt;&gt;"",Offer!C28,"")</f>
        <v>Configuration of GMB (Google My Business), categories, services</v>
      </c>
      <c r="D28" s="47" t="str">
        <f>IF(Offer!D28&lt;&gt;"",Offer!D28,"")</f>
        <v>a GMB</v>
      </c>
      <c r="E28" s="47">
        <f>IF(Offer!E28&lt;&gt;"",Offer!E28,"")</f>
        <v>1</v>
      </c>
      <c r="F28" s="76">
        <f>IF(Offer!F28&lt;&gt;"",Offer!F28,"")</f>
        <v>23.562676720075402</v>
      </c>
      <c r="G28" s="76">
        <f>IF(AND((Offer!C28&lt;&gt;""),(Offer!D28&lt;&gt;""),(Offer!E28&lt;&gt;""),(Offer!F28&lt;&gt;"")),(Offer!E28*Offer!F28),"")</f>
        <v>23.562676720075402</v>
      </c>
      <c r="H28" s="49"/>
      <c r="I28" s="21"/>
      <c r="M28" s="8"/>
      <c r="O28" s="182"/>
      <c r="P28" s="182"/>
      <c r="Q28" s="182"/>
      <c r="R28" s="182"/>
      <c r="S28" s="182"/>
      <c r="T28" s="182"/>
      <c r="W28" s="74"/>
    </row>
    <row r="29" spans="1:23" ht="15" customHeight="1" x14ac:dyDescent="0.25">
      <c r="A29" s="21"/>
      <c r="B29" s="28"/>
      <c r="C29" s="77" t="str">
        <f>IF(Offer!C29&lt;&gt;"",Offer!C29,"")</f>
        <v>Recaptcha site and private key configuration</v>
      </c>
      <c r="D29" s="47" t="str">
        <f>IF(Offer!D29&lt;&gt;"",Offer!D29,"")</f>
        <v>a template</v>
      </c>
      <c r="E29" s="47">
        <f>IF(Offer!E29&lt;&gt;"",Offer!E29,"")</f>
        <v>1</v>
      </c>
      <c r="F29" s="76">
        <f>IF(Offer!F29&lt;&gt;"",Offer!F29,"")</f>
        <v>4.7125353440150803</v>
      </c>
      <c r="G29" s="76">
        <f>IF(AND((Offer!C29&lt;&gt;""),(Offer!D29&lt;&gt;""),(Offer!E29&lt;&gt;""),(Offer!F29&lt;&gt;"")),(Offer!E29*Offer!F29),"")</f>
        <v>4.7125353440150803</v>
      </c>
      <c r="H29" s="49"/>
      <c r="I29" s="21"/>
      <c r="M29" s="8"/>
      <c r="O29" s="182"/>
      <c r="P29" s="182"/>
      <c r="Q29" s="182"/>
      <c r="R29" s="182"/>
      <c r="S29" s="182"/>
      <c r="T29" s="182"/>
      <c r="W29" s="74"/>
    </row>
    <row r="30" spans="1:23" ht="15" customHeight="1" x14ac:dyDescent="0.25">
      <c r="A30" s="21"/>
      <c r="B30" s="28"/>
      <c r="C30" s="77" t="str">
        <f>IF(Offer!C30&lt;&gt;"",Offer!C30,"")</f>
        <v>Contact form on the website (by e-mail) / Reservation form (by e-mail)</v>
      </c>
      <c r="D30" s="47" t="str">
        <f>IF(Offer!D30&lt;&gt;"",Offer!D30,"")</f>
        <v>a form</v>
      </c>
      <c r="E30" s="47">
        <f>IF(Offer!E30&lt;&gt;"",Offer!E30,"")</f>
        <v>8</v>
      </c>
      <c r="F30" s="76">
        <f>IF(Offer!F30&lt;&gt;"",Offer!F30,"")</f>
        <v>4.8317624882186623</v>
      </c>
      <c r="G30" s="76">
        <f>IF(AND((Offer!C30&lt;&gt;""),(Offer!D30&lt;&gt;""),(Offer!E30&lt;&gt;""),(Offer!F30&lt;&gt;"")),(Offer!E30*Offer!F30),"")</f>
        <v>38.654099905749298</v>
      </c>
      <c r="H30" s="49"/>
      <c r="I30" s="21"/>
      <c r="M30" s="8"/>
      <c r="O30" s="182"/>
      <c r="P30" s="182"/>
      <c r="Q30" s="182"/>
      <c r="R30" s="182"/>
      <c r="S30" s="182"/>
      <c r="T30" s="182"/>
      <c r="W30" s="74"/>
    </row>
    <row r="31" spans="1:23" ht="15" customHeight="1" x14ac:dyDescent="0.25">
      <c r="A31" s="21"/>
      <c r="B31" s="28"/>
      <c r="C31" s="77" t="str">
        <f>IF(Offer!C31&lt;&gt;"",Offer!C31,"")</f>
        <v>Meta Description and Title on the website - every article all languages</v>
      </c>
      <c r="D31" s="47" t="str">
        <f>IF(Offer!D31&lt;&gt;"",Offer!D31,"")</f>
        <v>a header</v>
      </c>
      <c r="E31" s="47">
        <f>IF(Offer!E31&lt;&gt;"",Offer!E31,"")</f>
        <v>36</v>
      </c>
      <c r="F31" s="76">
        <f>IF(Offer!F31&lt;&gt;"",Offer!F31,"")</f>
        <v>2.3562676720075402</v>
      </c>
      <c r="G31" s="76">
        <f>IF(AND((Offer!C31&lt;&gt;""),(Offer!D31&lt;&gt;""),(Offer!E31&lt;&gt;""),(Offer!F31&lt;&gt;"")),(Offer!E31*Offer!F31),"")</f>
        <v>84.825636192271446</v>
      </c>
      <c r="H31" s="49"/>
      <c r="I31" s="21"/>
      <c r="L31" s="82"/>
      <c r="M31" s="82"/>
      <c r="N31" s="82"/>
      <c r="O31" s="182"/>
      <c r="P31" s="182"/>
      <c r="Q31" s="182"/>
      <c r="R31" s="182"/>
      <c r="S31" s="182"/>
      <c r="T31" s="182"/>
      <c r="W31" s="74"/>
    </row>
    <row r="32" spans="1:23" ht="15" customHeight="1" x14ac:dyDescent="0.25">
      <c r="A32" s="21"/>
      <c r="B32" s="28"/>
      <c r="C32" s="77" t="str">
        <f>IF(Offer!C32&lt;&gt;"",Offer!C32,"")</f>
        <v>Captioning photos in Unite gallery @ 10 photos for each language separately</v>
      </c>
      <c r="D32" s="47" t="str">
        <f>IF(Offer!D32&lt;&gt;"",Offer!D32,"")</f>
        <v>a language</v>
      </c>
      <c r="E32" s="47">
        <f>IF(Offer!E32&lt;&gt;"",Offer!E32,"")</f>
        <v>4</v>
      </c>
      <c r="F32" s="76">
        <f>IF(Offer!F32&lt;&gt;"",Offer!F32,"")</f>
        <v>4.7125353440150803</v>
      </c>
      <c r="G32" s="76">
        <f>IF(AND((Offer!C32&lt;&gt;""),(Offer!D32&lt;&gt;""),(Offer!E32&lt;&gt;""),(Offer!F32&lt;&gt;"")),(Offer!E32*Offer!F32),"")</f>
        <v>18.850141376060321</v>
      </c>
      <c r="H32" s="49"/>
      <c r="I32" s="21"/>
      <c r="L32" s="82"/>
      <c r="M32" s="82"/>
      <c r="N32" s="82"/>
      <c r="O32" s="182"/>
      <c r="P32" s="182"/>
      <c r="Q32" s="182"/>
      <c r="R32" s="182"/>
      <c r="S32" s="182"/>
      <c r="T32" s="182"/>
      <c r="W32" s="74"/>
    </row>
    <row r="33" spans="1:23" ht="15" customHeight="1" x14ac:dyDescent="0.25">
      <c r="A33" s="21"/>
      <c r="B33" s="28"/>
      <c r="C33" s="77" t="str">
        <f>IF(Offer!C33&lt;&gt;"",Offer!C33,"")</f>
        <v>Image optimization - file size and image dimensions</v>
      </c>
      <c r="D33" s="47" t="str">
        <f>IF(Offer!D33&lt;&gt;"",Offer!D33,"")</f>
        <v>a picture</v>
      </c>
      <c r="E33" s="47">
        <f>IF(Offer!E33&lt;&gt;"",Offer!E33,"")</f>
        <v>20</v>
      </c>
      <c r="F33" s="76">
        <f>IF(Offer!F33&lt;&gt;"",Offer!F33,"")</f>
        <v>0.23562676720075401</v>
      </c>
      <c r="G33" s="76">
        <f>IF(AND((Offer!C33&lt;&gt;""),(Offer!D33&lt;&gt;""),(Offer!E33&lt;&gt;""),(Offer!F33&lt;&gt;"")),(Offer!E33*Offer!F33),"")</f>
        <v>4.7125353440150803</v>
      </c>
      <c r="H33" s="49"/>
      <c r="I33" s="21"/>
      <c r="L33" s="82"/>
      <c r="M33" s="82"/>
      <c r="N33" s="82"/>
      <c r="O33" s="182"/>
      <c r="P33" s="182"/>
      <c r="Q33" s="182"/>
      <c r="R33" s="182"/>
      <c r="S33" s="182"/>
      <c r="T33" s="182"/>
      <c r="W33" s="74"/>
    </row>
    <row r="34" spans="1:23" ht="15" customHeight="1" x14ac:dyDescent="0.25">
      <c r="A34" s="21"/>
      <c r="B34" s="28"/>
      <c r="C34" s="77" t="str">
        <f>IF(Offer!C34&lt;&gt;"",Offer!C34,"")</f>
        <v>Registration in foreign catalogs - backlinks @ 100</v>
      </c>
      <c r="D34" s="47" t="str">
        <f>IF(Offer!D34&lt;&gt;"",Offer!D34,"")</f>
        <v>a registration</v>
      </c>
      <c r="E34" s="47">
        <f>IF(Offer!E34&lt;&gt;"",Offer!E34,"")</f>
        <v>20</v>
      </c>
      <c r="F34" s="76">
        <f>IF(Offer!F34&lt;&gt;"",Offer!F34,"")</f>
        <v>9.4250706880301607</v>
      </c>
      <c r="G34" s="76">
        <f>IF(AND((Offer!C34&lt;&gt;""),(Offer!D34&lt;&gt;""),(Offer!E34&lt;&gt;""),(Offer!F34&lt;&gt;"")),(Offer!E34*Offer!F34),"")</f>
        <v>188.50141376060321</v>
      </c>
      <c r="H34" s="49"/>
      <c r="I34" s="21"/>
      <c r="L34" s="82"/>
      <c r="M34" s="82"/>
      <c r="N34" s="82"/>
      <c r="O34" s="82"/>
      <c r="P34" s="82"/>
      <c r="Q34" s="82"/>
      <c r="R34" s="82"/>
      <c r="S34" s="82"/>
      <c r="T34" s="82"/>
      <c r="W34" s="74"/>
    </row>
    <row r="35" spans="1:23" ht="15" customHeight="1" x14ac:dyDescent="0.25">
      <c r="A35" s="21"/>
      <c r="B35" s="28"/>
      <c r="C35" s="77" t="str">
        <f>IF(Offer!C35&lt;&gt;"",Offer!C35,"")</f>
        <v>Registration at domain registrator for purchase and renewal of domains</v>
      </c>
      <c r="D35" s="47" t="str">
        <f>IF(Offer!D35&lt;&gt;"",Offer!D35,"")</f>
        <v>an account</v>
      </c>
      <c r="E35" s="47">
        <f>IF(Offer!E35&lt;&gt;"",Offer!E35,"")</f>
        <v>1</v>
      </c>
      <c r="F35" s="76">
        <f>IF(Offer!F35&lt;&gt;"",Offer!F35,"")</f>
        <v>0.47125353440150802</v>
      </c>
      <c r="G35" s="76">
        <f>IF(AND((Offer!C35&lt;&gt;""),(Offer!D35&lt;&gt;""),(Offer!E35&lt;&gt;""),(Offer!F35&lt;&gt;"")),(Offer!E35*Offer!F35),"")</f>
        <v>0.47125353440150802</v>
      </c>
      <c r="H35" s="49"/>
      <c r="I35" s="21"/>
      <c r="L35" s="82"/>
      <c r="M35" s="82"/>
      <c r="N35" s="82"/>
      <c r="O35" s="82"/>
      <c r="P35" s="82"/>
      <c r="Q35" s="82"/>
      <c r="R35" s="82"/>
      <c r="S35" s="82"/>
      <c r="T35" s="82"/>
      <c r="W35" s="74"/>
    </row>
    <row r="36" spans="1:23" ht="15" customHeight="1" x14ac:dyDescent="0.25">
      <c r="A36" s="21"/>
      <c r="B36" s="28"/>
      <c r="C36" s="77" t="str">
        <f>IF(Offer!C36&lt;&gt;"",Offer!C36,"")</f>
        <v/>
      </c>
      <c r="D36" s="47" t="str">
        <f>IF(Offer!D36&lt;&gt;"",Offer!D36,"")</f>
        <v/>
      </c>
      <c r="E36" s="47" t="str">
        <f>IF(Offer!E36&lt;&gt;"",Offer!E36,"")</f>
        <v/>
      </c>
      <c r="F36" s="76" t="str">
        <f>IF(Offer!F36&lt;&gt;"",Offer!F36,"")</f>
        <v/>
      </c>
      <c r="G36" s="76" t="str">
        <f>IF(AND((Offer!C36&lt;&gt;""),(Offer!D36&lt;&gt;""),(Offer!E36&lt;&gt;""),(Offer!F36&lt;&gt;"")),(Offer!E36*Offer!F36),"")</f>
        <v/>
      </c>
      <c r="H36" s="49"/>
      <c r="I36" s="21"/>
      <c r="L36" s="82"/>
      <c r="M36" s="82"/>
      <c r="N36" s="82"/>
      <c r="O36" s="82"/>
      <c r="P36" s="82"/>
      <c r="Q36" s="82"/>
      <c r="R36" s="82"/>
      <c r="S36" s="82"/>
      <c r="T36" s="82"/>
      <c r="W36" s="74"/>
    </row>
    <row r="37" spans="1:23" ht="15" customHeight="1" x14ac:dyDescent="0.25">
      <c r="A37" s="21"/>
      <c r="B37" s="28"/>
      <c r="C37" s="77" t="str">
        <f>IF(Offer!C37&lt;&gt;"",Offer!C37,"")</f>
        <v/>
      </c>
      <c r="D37" s="47" t="str">
        <f>IF(Offer!D37&lt;&gt;"",Offer!D37,"")</f>
        <v/>
      </c>
      <c r="E37" s="47" t="str">
        <f>IF(Offer!E37&lt;&gt;"",Offer!E37,"")</f>
        <v/>
      </c>
      <c r="F37" s="76" t="str">
        <f>IF(Offer!F37&lt;&gt;"",Offer!F37,"")</f>
        <v/>
      </c>
      <c r="G37" s="76" t="str">
        <f>IF(AND((Offer!C37&lt;&gt;""),(Offer!D37&lt;&gt;""),(Offer!E37&lt;&gt;""),(Offer!F37&lt;&gt;"")),(Offer!E37*Offer!F37),"")</f>
        <v/>
      </c>
      <c r="H37" s="49"/>
      <c r="I37" s="21"/>
      <c r="L37" s="82"/>
      <c r="M37" s="82"/>
      <c r="N37" s="82"/>
      <c r="O37" s="82"/>
      <c r="P37" s="82"/>
      <c r="Q37" s="82"/>
      <c r="R37" s="82"/>
      <c r="S37" s="82"/>
      <c r="T37" s="82"/>
      <c r="W37" s="74"/>
    </row>
    <row r="38" spans="1:23" ht="15" customHeight="1" x14ac:dyDescent="0.25">
      <c r="A38" s="21"/>
      <c r="B38" s="28"/>
      <c r="C38" s="77" t="str">
        <f>IF(Offer!C38&lt;&gt;"",Offer!C38,"")</f>
        <v/>
      </c>
      <c r="D38" s="47" t="str">
        <f>IF(Offer!D38&lt;&gt;"",Offer!D38,"")</f>
        <v/>
      </c>
      <c r="E38" s="47" t="str">
        <f>IF(Offer!E38&lt;&gt;"",Offer!E38,"")</f>
        <v/>
      </c>
      <c r="F38" s="76" t="str">
        <f>IF(Offer!F38&lt;&gt;"",Offer!F38,"")</f>
        <v/>
      </c>
      <c r="G38" s="76" t="str">
        <f>IF(AND((Offer!C38&lt;&gt;""),(Offer!D38&lt;&gt;""),(Offer!E38&lt;&gt;""),(Offer!F38&lt;&gt;"")),(Offer!E38*Offer!F38),"")</f>
        <v/>
      </c>
      <c r="H38" s="49"/>
      <c r="I38" s="21"/>
      <c r="L38" s="82"/>
      <c r="M38" s="82"/>
      <c r="N38" s="82"/>
      <c r="O38" s="82"/>
      <c r="P38" s="82"/>
      <c r="Q38" s="82"/>
      <c r="R38" s="82"/>
      <c r="S38" s="82"/>
      <c r="T38" s="82"/>
      <c r="W38" s="74"/>
    </row>
    <row r="39" spans="1:23" ht="15" customHeight="1" x14ac:dyDescent="0.25">
      <c r="A39" s="21"/>
      <c r="B39" s="28"/>
      <c r="C39" s="77" t="str">
        <f>IF(Offer!C39&lt;&gt;"",Offer!C39,"")</f>
        <v/>
      </c>
      <c r="D39" s="47" t="str">
        <f>IF(Offer!D39&lt;&gt;"",Offer!D39,"")</f>
        <v/>
      </c>
      <c r="E39" s="47" t="str">
        <f>IF(Offer!E39&lt;&gt;"",Offer!E39,"")</f>
        <v/>
      </c>
      <c r="F39" s="76" t="str">
        <f>IF(Offer!F39&lt;&gt;"",Offer!F39,"")</f>
        <v/>
      </c>
      <c r="G39" s="76" t="str">
        <f>IF(AND((Offer!C39&lt;&gt;""),(Offer!D39&lt;&gt;""),(Offer!E39&lt;&gt;""),(Offer!F39&lt;&gt;"")),(Offer!E39*Offer!F39),"")</f>
        <v/>
      </c>
      <c r="H39" s="49"/>
      <c r="I39" s="21"/>
      <c r="M39" s="8"/>
      <c r="W39" s="74"/>
    </row>
    <row r="40" spans="1:23" ht="15" customHeight="1" x14ac:dyDescent="0.25">
      <c r="A40" s="21"/>
      <c r="B40" s="28"/>
      <c r="C40" s="77" t="str">
        <f>IF(Offer!C40&lt;&gt;"",Offer!C40,"")</f>
        <v/>
      </c>
      <c r="D40" s="47" t="str">
        <f>IF(Offer!D40&lt;&gt;"",Offer!D40,"")</f>
        <v/>
      </c>
      <c r="E40" s="47" t="str">
        <f>IF(Offer!E40&lt;&gt;"",Offer!E40,"")</f>
        <v/>
      </c>
      <c r="F40" s="76" t="str">
        <f>IF(Offer!F40&lt;&gt;"",Offer!F40,"")</f>
        <v/>
      </c>
      <c r="G40" s="76" t="str">
        <f>IF(AND((Offer!C40&lt;&gt;""),(Offer!D40&lt;&gt;""),(Offer!E40&lt;&gt;""),(Offer!F40&lt;&gt;"")),(Offer!E40*Offer!F40),"")</f>
        <v/>
      </c>
      <c r="H40" s="49"/>
      <c r="I40" s="21"/>
      <c r="L40" s="18"/>
      <c r="W40" s="74"/>
    </row>
    <row r="41" spans="1:23" ht="15" customHeight="1" x14ac:dyDescent="0.25">
      <c r="A41" s="21"/>
      <c r="B41" s="28"/>
      <c r="C41" s="77" t="str">
        <f>IF(Offer!C41&lt;&gt;"",Offer!C41,"")</f>
        <v/>
      </c>
      <c r="D41" s="47" t="str">
        <f>IF(Offer!D41&lt;&gt;"",Offer!D41,"")</f>
        <v/>
      </c>
      <c r="E41" s="47" t="str">
        <f>IF(Offer!E41&lt;&gt;"",Offer!E41,"")</f>
        <v/>
      </c>
      <c r="F41" s="76" t="str">
        <f>IF(Offer!F41&lt;&gt;"",Offer!F41,"")</f>
        <v/>
      </c>
      <c r="G41" s="76" t="str">
        <f>IF(AND((Offer!C41&lt;&gt;""),(Offer!D41&lt;&gt;""),(Offer!E41&lt;&gt;""),(Offer!F41&lt;&gt;"")),(Offer!E41*Offer!F41),"")</f>
        <v/>
      </c>
      <c r="H41" s="49"/>
      <c r="I41" s="21"/>
      <c r="W41" s="74"/>
    </row>
    <row r="42" spans="1:23" ht="15" customHeight="1" x14ac:dyDescent="0.25">
      <c r="A42" s="21"/>
      <c r="B42" s="28"/>
      <c r="C42" s="77" t="str">
        <f>IF(Offer!C42&lt;&gt;"",Offer!C42,"")</f>
        <v/>
      </c>
      <c r="D42" s="47" t="str">
        <f>IF(Offer!D42&lt;&gt;"",Offer!D42,"")</f>
        <v/>
      </c>
      <c r="E42" s="47" t="str">
        <f>IF(Offer!E42&lt;&gt;"",Offer!E42,"")</f>
        <v/>
      </c>
      <c r="F42" s="76" t="str">
        <f>IF(Offer!F42&lt;&gt;"",Offer!F42,"")</f>
        <v/>
      </c>
      <c r="G42" s="76" t="str">
        <f>IF(AND((Offer!C42&lt;&gt;""),(Offer!D42&lt;&gt;""),(Offer!E42&lt;&gt;""),(Offer!F42&lt;&gt;"")),(Offer!E42*Offer!F42),"")</f>
        <v/>
      </c>
      <c r="H42" s="50"/>
      <c r="I42" s="21"/>
      <c r="W42" s="74"/>
    </row>
    <row r="43" spans="1:23" ht="15" customHeight="1" thickBot="1" x14ac:dyDescent="0.3">
      <c r="A43" s="21"/>
      <c r="B43" s="28"/>
      <c r="C43" s="21"/>
      <c r="D43" s="21"/>
      <c r="E43" s="170" t="s">
        <v>14</v>
      </c>
      <c r="F43" s="171"/>
      <c r="G43" s="92">
        <f>SUM(Offer!G20:'Offer'!G42)</f>
        <v>459.48350612629594</v>
      </c>
      <c r="H43" s="49"/>
      <c r="I43" s="21"/>
      <c r="L43" s="11"/>
      <c r="W43" s="74"/>
    </row>
    <row r="44" spans="1:23" ht="15" customHeight="1" x14ac:dyDescent="0.25">
      <c r="A44" s="21"/>
      <c r="B44" s="28"/>
      <c r="C44" s="21"/>
      <c r="D44" s="21"/>
      <c r="E44" s="51"/>
      <c r="F44" s="51"/>
      <c r="G44" s="52"/>
      <c r="H44" s="49"/>
      <c r="I44" s="21"/>
      <c r="M44" s="8"/>
      <c r="W44" s="74"/>
    </row>
    <row r="45" spans="1:23" ht="15" customHeight="1" x14ac:dyDescent="0.25">
      <c r="A45" s="21"/>
      <c r="B45" s="28"/>
      <c r="C45" s="21"/>
      <c r="D45" s="21"/>
      <c r="E45" s="46"/>
      <c r="F45" s="53"/>
      <c r="G45" s="53"/>
      <c r="H45" s="49"/>
      <c r="I45" s="21"/>
      <c r="M45" s="8"/>
      <c r="W45" s="74"/>
    </row>
    <row r="46" spans="1:23" ht="15" customHeight="1" x14ac:dyDescent="0.25">
      <c r="A46" s="21"/>
      <c r="B46" s="28"/>
      <c r="C46" s="21" t="s">
        <v>13</v>
      </c>
      <c r="D46" s="47" t="s">
        <v>9</v>
      </c>
      <c r="E46" s="40" t="s">
        <v>10</v>
      </c>
      <c r="F46" s="48" t="s">
        <v>11</v>
      </c>
      <c r="G46" s="48" t="s">
        <v>12</v>
      </c>
      <c r="H46" s="49"/>
      <c r="I46" s="21"/>
      <c r="L46" s="12"/>
      <c r="M46" s="8"/>
      <c r="W46" s="74"/>
    </row>
    <row r="47" spans="1:23" ht="15" customHeight="1" x14ac:dyDescent="0.25">
      <c r="A47" s="21"/>
      <c r="B47" s="28"/>
      <c r="C47" s="21" t="str">
        <f>IF(Offer!C47&lt;&gt;"",Offer!C47,"")</f>
        <v>1 year subscription of Webhosting.</v>
      </c>
      <c r="D47" s="21" t="str">
        <f>IF(Offer!D47&lt;&gt;"",Offer!D47,"")</f>
        <v>a webhosting</v>
      </c>
      <c r="E47" s="47">
        <f>IF(Offer!E47&lt;&gt;"",Offer!E47,"")</f>
        <v>1</v>
      </c>
      <c r="F47" s="76">
        <f>IF(Offer!F47&lt;&gt;"",Offer!F47,"")</f>
        <v>36.217247879359093</v>
      </c>
      <c r="G47" s="76">
        <f>IF(AND((Offer!C47&lt;&gt;""),(Offer!D47&lt;&gt;""),(Offer!E47&lt;&gt;""),(Offer!F47&lt;&gt;"")),(Offer!E47*Offer!F47),"")</f>
        <v>36.217247879359093</v>
      </c>
      <c r="H47" s="49"/>
      <c r="I47" s="21"/>
      <c r="L47" s="11"/>
      <c r="M47" s="8"/>
      <c r="W47" s="74"/>
    </row>
    <row r="48" spans="1:23" ht="15" customHeight="1" x14ac:dyDescent="0.25">
      <c r="A48" s="21"/>
      <c r="B48" s="28"/>
      <c r="C48" s="21" t="str">
        <f>IF(Offer!C48&lt;&gt;"",Offer!C48,"")</f>
        <v>THAWTE certificate for a single domain</v>
      </c>
      <c r="D48" s="21" t="str">
        <f>IF(Offer!D48&lt;&gt;"",Offer!D48,"")</f>
        <v>a certificate</v>
      </c>
      <c r="E48" s="47">
        <f>IF(Offer!E48&lt;&gt;"",Offer!E48,"")</f>
        <v>1</v>
      </c>
      <c r="F48" s="76">
        <f>IF(Offer!F48&lt;&gt;"",Offer!F48,"")</f>
        <v>58.906691800188504</v>
      </c>
      <c r="G48" s="76">
        <f>IF(AND((Offer!C48&lt;&gt;""),(Offer!D48&lt;&gt;""),(Offer!E48&lt;&gt;""),(Offer!F48&lt;&gt;"")),(Offer!E48*Offer!F48),"")</f>
        <v>58.906691800188504</v>
      </c>
      <c r="H48" s="49"/>
      <c r="I48" s="21"/>
      <c r="W48" s="74"/>
    </row>
    <row r="49" spans="1:81" ht="15" customHeight="1" x14ac:dyDescent="0.25">
      <c r="A49" s="21"/>
      <c r="B49" s="28"/>
      <c r="C49" s="21" t="str">
        <f>IF(Offer!C49&lt;&gt;"",Offer!C49,"")</f>
        <v>1 year subscription of domain name at registrator</v>
      </c>
      <c r="D49" s="21" t="str">
        <f>IF(Offer!D49&lt;&gt;"",Offer!D49,"")</f>
        <v>domain</v>
      </c>
      <c r="E49" s="47">
        <f>IF(Offer!E49&lt;&gt;"",Offer!E49,"")</f>
        <v>1</v>
      </c>
      <c r="F49" s="76">
        <f>IF(Offer!F49&lt;&gt;"",Offer!F49,"")</f>
        <v>8.9</v>
      </c>
      <c r="G49" s="76">
        <f>IF(AND((Offer!C49&lt;&gt;""),(Offer!D49&lt;&gt;""),(Offer!E49&lt;&gt;""),(Offer!F49&lt;&gt;"")),(Offer!E49*Offer!F49),"")</f>
        <v>8.9</v>
      </c>
      <c r="H49" s="49"/>
      <c r="I49" s="21"/>
      <c r="W49" s="74"/>
    </row>
    <row r="50" spans="1:81" ht="15" customHeight="1" x14ac:dyDescent="0.25">
      <c r="A50" s="21"/>
      <c r="B50" s="28"/>
      <c r="C50" s="21" t="str">
        <f>IF(Offer!C50&lt;&gt;"",Offer!C50,"")</f>
        <v/>
      </c>
      <c r="D50" s="21" t="str">
        <f>IF(Offer!D50&lt;&gt;"",Offer!D50,"")</f>
        <v/>
      </c>
      <c r="E50" s="47" t="str">
        <f>IF(Offer!E50&lt;&gt;"",Offer!E50,"")</f>
        <v/>
      </c>
      <c r="F50" s="76" t="str">
        <f>IF(Offer!F50&lt;&gt;"",Offer!F50,"")</f>
        <v/>
      </c>
      <c r="G50" s="76" t="str">
        <f>IF(AND((Offer!C50&lt;&gt;""),(Offer!D50&lt;&gt;""),(Offer!E50&lt;&gt;""),(Offer!F50&lt;&gt;"")),(Offer!E50*Offer!F50),"")</f>
        <v/>
      </c>
      <c r="H50" s="49"/>
      <c r="I50" s="21"/>
      <c r="L50" s="18"/>
      <c r="W50" s="74"/>
    </row>
    <row r="51" spans="1:81" ht="15" customHeight="1" x14ac:dyDescent="0.25">
      <c r="A51" s="21"/>
      <c r="B51" s="28"/>
      <c r="C51" s="21" t="str">
        <f>IF(Offer!C51&lt;&gt;"",Offer!C51,"")</f>
        <v/>
      </c>
      <c r="D51" s="21" t="str">
        <f>IF(Offer!D51&lt;&gt;"",Offer!D51,"")</f>
        <v/>
      </c>
      <c r="E51" s="47" t="str">
        <f>IF(Offer!E51&lt;&gt;"",Offer!E51,"")</f>
        <v/>
      </c>
      <c r="F51" s="76" t="str">
        <f>IF(Offer!F51&lt;&gt;"",Offer!F51,"")</f>
        <v/>
      </c>
      <c r="G51" s="76" t="str">
        <f>IF(AND((Offer!C51&lt;&gt;""),(Offer!D51&lt;&gt;""),(Offer!E51&lt;&gt;""),(Offer!F51&lt;&gt;"")),(Offer!E51*Offer!F51),"")</f>
        <v/>
      </c>
      <c r="H51" s="49"/>
      <c r="I51" s="21"/>
    </row>
    <row r="52" spans="1:81" ht="15" customHeight="1" x14ac:dyDescent="0.25">
      <c r="A52" s="21"/>
      <c r="B52" s="28"/>
      <c r="C52" s="21" t="str">
        <f>IF(Offer!C52&lt;&gt;"",Offer!C52,"")</f>
        <v/>
      </c>
      <c r="D52" s="21" t="str">
        <f>IF(Offer!D52&lt;&gt;"",Offer!D52,"")</f>
        <v/>
      </c>
      <c r="E52" s="47" t="str">
        <f>IF(Offer!E52&lt;&gt;"",Offer!E52,"")</f>
        <v/>
      </c>
      <c r="F52" s="76" t="str">
        <f>IF(Offer!F52&lt;&gt;"",Offer!F52,"")</f>
        <v/>
      </c>
      <c r="G52" s="76" t="str">
        <f>IF(AND((Offer!C52&lt;&gt;""),(Offer!D52&lt;&gt;""),(Offer!E52&lt;&gt;""),(Offer!F52&lt;&gt;"")),(Offer!E52*Offer!F52),"")</f>
        <v/>
      </c>
      <c r="H52" s="50"/>
      <c r="I52" s="21"/>
    </row>
    <row r="53" spans="1:81" ht="15" customHeight="1" thickBot="1" x14ac:dyDescent="0.3">
      <c r="A53" s="21"/>
      <c r="B53" s="28"/>
      <c r="C53" s="21"/>
      <c r="D53" s="21"/>
      <c r="E53" s="172" t="s">
        <v>15</v>
      </c>
      <c r="F53" s="173"/>
      <c r="G53" s="93">
        <f>SUM(Offer!G47:'Offer'!G52)</f>
        <v>104.0239396795476</v>
      </c>
      <c r="H53" s="50"/>
      <c r="I53" s="21"/>
    </row>
    <row r="54" spans="1:81" ht="15" customHeight="1" x14ac:dyDescent="0.25">
      <c r="A54" s="21"/>
      <c r="B54" s="28"/>
      <c r="C54" s="21"/>
      <c r="D54" s="38"/>
      <c r="E54" s="46"/>
      <c r="F54" s="54"/>
      <c r="G54" s="55"/>
      <c r="H54" s="50"/>
      <c r="I54" s="21"/>
      <c r="L54" s="80"/>
      <c r="M54" s="11"/>
    </row>
    <row r="55" spans="1:81" ht="15" customHeight="1" x14ac:dyDescent="0.25">
      <c r="A55" s="21"/>
      <c r="B55" s="28"/>
      <c r="C55" s="21"/>
      <c r="D55" s="21"/>
      <c r="E55" s="21"/>
      <c r="F55" s="21"/>
      <c r="G55" s="21"/>
      <c r="H55" s="50"/>
      <c r="I55" s="21"/>
      <c r="L55" s="80"/>
      <c r="M55" s="11"/>
    </row>
    <row r="56" spans="1:81" ht="15" customHeight="1" thickBot="1" x14ac:dyDescent="0.3">
      <c r="A56" s="21"/>
      <c r="B56" s="28"/>
      <c r="C56" s="38"/>
      <c r="D56" s="21"/>
      <c r="E56" s="24"/>
      <c r="F56" s="71"/>
      <c r="G56" s="78"/>
      <c r="H56" s="50"/>
      <c r="I56" s="21"/>
      <c r="J56" s="14"/>
      <c r="K56" s="14"/>
      <c r="L56" s="14"/>
      <c r="M56" s="14"/>
      <c r="N56" s="14"/>
      <c r="O56" s="14"/>
      <c r="P56" s="14"/>
      <c r="Q56" s="14"/>
      <c r="R56" s="14"/>
      <c r="S56" s="14"/>
    </row>
    <row r="57" spans="1:81" ht="15" customHeight="1" thickTop="1" x14ac:dyDescent="0.25">
      <c r="A57" s="21"/>
      <c r="B57" s="28"/>
      <c r="C57" s="21"/>
      <c r="D57" s="21"/>
      <c r="E57" s="83"/>
      <c r="F57" s="70" t="s">
        <v>20</v>
      </c>
      <c r="G57" s="94">
        <f>Offer!G56</f>
        <v>563.50744580584353</v>
      </c>
      <c r="H57" s="50"/>
      <c r="I57" s="21"/>
      <c r="J57" s="14"/>
      <c r="K57" s="14"/>
      <c r="L57" s="65"/>
      <c r="M57" s="65"/>
      <c r="N57" s="65"/>
      <c r="O57" s="65"/>
      <c r="P57" s="65"/>
      <c r="Q57" s="65"/>
      <c r="R57" s="65"/>
      <c r="S57" s="65"/>
    </row>
    <row r="58" spans="1:81" ht="15" customHeight="1" thickBot="1" x14ac:dyDescent="0.3">
      <c r="A58" s="21"/>
      <c r="B58" s="28"/>
      <c r="C58" s="21"/>
      <c r="D58" s="21"/>
      <c r="E58" s="84"/>
      <c r="F58" s="72" t="str">
        <f>Offer!F57</f>
        <v>Total with VAT 21% (119 USD):</v>
      </c>
      <c r="G58" s="96">
        <f>Offer!G57</f>
        <v>682</v>
      </c>
      <c r="H58" s="85"/>
      <c r="I58" s="86"/>
      <c r="J58" s="87"/>
      <c r="K58" s="87"/>
      <c r="L58" s="65"/>
      <c r="M58" s="65"/>
      <c r="N58" s="65"/>
      <c r="O58" s="65"/>
      <c r="P58" s="65"/>
      <c r="Q58" s="65"/>
      <c r="R58" s="65"/>
      <c r="S58" s="65"/>
      <c r="T58" s="88"/>
      <c r="U58" s="88"/>
      <c r="V58" s="88"/>
      <c r="W58" s="88"/>
      <c r="X58" s="88"/>
      <c r="Y58" s="88"/>
      <c r="Z58" s="88"/>
      <c r="AA58" s="88"/>
      <c r="AB58" s="88"/>
      <c r="AC58" s="88"/>
      <c r="AD58" s="88"/>
      <c r="AE58" s="88"/>
      <c r="AF58" s="88"/>
      <c r="AG58" s="88"/>
      <c r="AH58" s="88"/>
      <c r="AI58" s="88"/>
      <c r="AJ58" s="88"/>
      <c r="AK58" s="88"/>
      <c r="AL58" s="88"/>
      <c r="AM58" s="88"/>
      <c r="AN58" s="88"/>
      <c r="AO58" s="88"/>
      <c r="AP58" s="88"/>
      <c r="AQ58" s="88"/>
      <c r="AR58" s="88"/>
      <c r="AS58" s="88"/>
      <c r="AT58" s="88"/>
      <c r="AU58" s="88"/>
      <c r="AV58" s="88"/>
      <c r="AW58" s="88"/>
      <c r="AX58" s="88"/>
      <c r="AY58" s="88"/>
      <c r="AZ58" s="88"/>
      <c r="BA58" s="88"/>
      <c r="BB58" s="88"/>
      <c r="BC58" s="88"/>
      <c r="BD58" s="88"/>
      <c r="BE58" s="88"/>
      <c r="BF58" s="88"/>
      <c r="BG58" s="88"/>
      <c r="BH58" s="88"/>
      <c r="BI58" s="88"/>
      <c r="BJ58" s="88"/>
      <c r="BK58" s="88"/>
      <c r="BL58" s="88"/>
      <c r="BM58" s="88"/>
      <c r="BN58" s="88"/>
      <c r="BO58" s="88"/>
      <c r="BP58" s="88"/>
      <c r="BQ58" s="88"/>
      <c r="BR58" s="88"/>
      <c r="BS58" s="88"/>
      <c r="BT58" s="88"/>
      <c r="BU58" s="88"/>
      <c r="BV58" s="88"/>
      <c r="BW58" s="88"/>
      <c r="BX58" s="88"/>
      <c r="BY58" s="88"/>
      <c r="BZ58" s="88"/>
      <c r="CA58" s="88"/>
      <c r="CB58" s="88"/>
      <c r="CC58" s="88"/>
    </row>
    <row r="59" spans="1:81" ht="15" customHeight="1" thickTop="1" x14ac:dyDescent="0.25">
      <c r="A59" s="21"/>
      <c r="B59" s="28"/>
      <c r="C59" s="21"/>
      <c r="D59" s="21"/>
      <c r="E59" s="24"/>
      <c r="F59" s="71"/>
      <c r="G59" s="73" t="s">
        <v>85</v>
      </c>
      <c r="H59" s="85"/>
      <c r="I59" s="86"/>
      <c r="J59" s="87"/>
      <c r="K59" s="87"/>
      <c r="L59" s="65"/>
      <c r="M59" s="65"/>
      <c r="N59" s="65"/>
      <c r="O59" s="65"/>
      <c r="P59" s="65"/>
      <c r="Q59" s="65"/>
      <c r="R59" s="65"/>
      <c r="S59" s="65"/>
      <c r="T59" s="88"/>
      <c r="U59" s="88"/>
      <c r="V59" s="88"/>
      <c r="W59" s="88"/>
      <c r="X59" s="88"/>
      <c r="Y59" s="88"/>
      <c r="Z59" s="88"/>
      <c r="AA59" s="88"/>
      <c r="AB59" s="88"/>
      <c r="AC59" s="88"/>
      <c r="AD59" s="88"/>
      <c r="AE59" s="88"/>
      <c r="AF59" s="88"/>
      <c r="AG59" s="88"/>
      <c r="AH59" s="88"/>
      <c r="AI59" s="88"/>
      <c r="AJ59" s="88"/>
      <c r="AK59" s="88"/>
      <c r="AL59" s="88"/>
      <c r="AM59" s="88"/>
      <c r="AN59" s="88"/>
      <c r="AO59" s="88"/>
      <c r="AP59" s="88"/>
      <c r="AQ59" s="88"/>
      <c r="AR59" s="88"/>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c r="BS59" s="88"/>
      <c r="BT59" s="88"/>
      <c r="BU59" s="88"/>
      <c r="BV59" s="88"/>
      <c r="BW59" s="88"/>
      <c r="BX59" s="88"/>
      <c r="BY59" s="88"/>
      <c r="BZ59" s="88"/>
      <c r="CA59" s="88"/>
      <c r="CB59" s="88"/>
      <c r="CC59" s="88"/>
    </row>
    <row r="60" spans="1:81" ht="15" customHeight="1" x14ac:dyDescent="0.25">
      <c r="A60" s="21"/>
      <c r="B60" s="28"/>
      <c r="C60" s="21"/>
      <c r="D60" s="21"/>
      <c r="E60" s="46"/>
      <c r="F60" s="53"/>
      <c r="G60" s="21"/>
      <c r="H60" s="85"/>
      <c r="I60" s="86"/>
      <c r="J60" s="87"/>
      <c r="K60" s="87"/>
      <c r="L60" s="65"/>
      <c r="M60" s="65"/>
      <c r="N60" s="65"/>
      <c r="O60" s="65"/>
      <c r="P60" s="65"/>
      <c r="Q60" s="65"/>
      <c r="R60" s="65"/>
      <c r="S60" s="65"/>
      <c r="T60" s="88"/>
      <c r="U60" s="88"/>
      <c r="V60" s="88"/>
      <c r="W60" s="88"/>
      <c r="X60" s="88"/>
      <c r="Y60" s="88"/>
      <c r="Z60" s="88"/>
      <c r="AA60" s="88"/>
      <c r="AB60" s="88"/>
      <c r="AC60" s="88"/>
      <c r="AD60" s="88"/>
      <c r="AE60" s="88"/>
      <c r="AF60" s="88"/>
      <c r="AG60" s="88"/>
      <c r="AH60" s="88"/>
      <c r="AI60" s="88"/>
      <c r="AJ60" s="88"/>
      <c r="AK60" s="88"/>
      <c r="AL60" s="88"/>
      <c r="AM60" s="88"/>
      <c r="AN60" s="88"/>
      <c r="AO60" s="88"/>
      <c r="AP60" s="88"/>
      <c r="AQ60" s="88"/>
      <c r="AR60" s="88"/>
      <c r="AS60" s="88"/>
      <c r="AT60" s="88"/>
      <c r="AU60" s="88"/>
      <c r="AV60" s="88"/>
      <c r="AW60" s="88"/>
      <c r="AX60" s="88"/>
      <c r="AY60" s="88"/>
      <c r="AZ60" s="88"/>
      <c r="BA60" s="88"/>
      <c r="BB60" s="88"/>
      <c r="BC60" s="88"/>
      <c r="BD60" s="88"/>
      <c r="BE60" s="88"/>
      <c r="BF60" s="88"/>
      <c r="BG60" s="88"/>
      <c r="BH60" s="88"/>
      <c r="BI60" s="88"/>
      <c r="BJ60" s="88"/>
      <c r="BK60" s="88"/>
      <c r="BL60" s="88"/>
      <c r="BM60" s="88"/>
      <c r="BN60" s="88"/>
      <c r="BO60" s="88"/>
      <c r="BP60" s="88"/>
      <c r="BQ60" s="88"/>
      <c r="BR60" s="88"/>
      <c r="BS60" s="88"/>
      <c r="BT60" s="88"/>
      <c r="BU60" s="88"/>
      <c r="BV60" s="88"/>
      <c r="BW60" s="88"/>
      <c r="BX60" s="88"/>
      <c r="BY60" s="88"/>
      <c r="BZ60" s="88"/>
      <c r="CA60" s="88"/>
      <c r="CB60" s="88"/>
      <c r="CC60" s="88"/>
    </row>
    <row r="61" spans="1:81" ht="15" customHeight="1" x14ac:dyDescent="0.25">
      <c r="A61" s="21"/>
      <c r="B61" s="28"/>
      <c r="C61" s="86"/>
      <c r="D61" s="89"/>
      <c r="E61" s="86"/>
      <c r="F61" s="86"/>
      <c r="G61" s="86"/>
      <c r="H61" s="85"/>
      <c r="I61" s="86"/>
      <c r="J61" s="87"/>
      <c r="K61" s="87"/>
      <c r="L61" s="65"/>
      <c r="M61" s="65"/>
      <c r="N61" s="65"/>
      <c r="O61" s="65"/>
      <c r="P61" s="65"/>
      <c r="Q61" s="65"/>
      <c r="R61" s="65"/>
      <c r="S61" s="65"/>
      <c r="T61" s="88"/>
      <c r="U61" s="88"/>
      <c r="V61" s="88"/>
      <c r="W61" s="88"/>
      <c r="X61" s="88"/>
      <c r="Y61" s="88"/>
      <c r="Z61" s="88"/>
      <c r="AA61" s="88"/>
      <c r="AB61" s="88"/>
      <c r="AC61" s="88"/>
      <c r="AD61" s="88"/>
      <c r="AE61" s="88"/>
      <c r="AF61" s="88"/>
      <c r="AG61" s="88"/>
      <c r="AH61" s="88"/>
      <c r="AI61" s="88"/>
      <c r="AJ61" s="88"/>
      <c r="AK61" s="88"/>
      <c r="AL61" s="88"/>
      <c r="AM61" s="88"/>
      <c r="AN61" s="88"/>
      <c r="AO61" s="88"/>
      <c r="AP61" s="88"/>
      <c r="AQ61" s="88"/>
      <c r="AR61" s="88"/>
      <c r="AS61" s="88"/>
      <c r="AT61" s="88"/>
      <c r="AU61" s="88"/>
      <c r="AV61" s="88"/>
      <c r="AW61" s="88"/>
      <c r="AX61" s="88"/>
      <c r="AY61" s="88"/>
      <c r="AZ61" s="88"/>
      <c r="BA61" s="88"/>
      <c r="BB61" s="88"/>
      <c r="BC61" s="88"/>
      <c r="BD61" s="88"/>
      <c r="BE61" s="88"/>
      <c r="BF61" s="88"/>
      <c r="BG61" s="88"/>
      <c r="BH61" s="88"/>
      <c r="BI61" s="88"/>
      <c r="BJ61" s="88"/>
      <c r="BK61" s="88"/>
      <c r="BL61" s="88"/>
      <c r="BM61" s="88"/>
      <c r="BN61" s="88"/>
      <c r="BO61" s="88"/>
      <c r="BP61" s="88"/>
      <c r="BQ61" s="88"/>
      <c r="BR61" s="88"/>
      <c r="BS61" s="88"/>
      <c r="BT61" s="88"/>
      <c r="BU61" s="88"/>
      <c r="BV61" s="88"/>
      <c r="BW61" s="88"/>
      <c r="BX61" s="88"/>
      <c r="BY61" s="88"/>
      <c r="BZ61" s="88"/>
      <c r="CA61" s="88"/>
      <c r="CB61" s="88"/>
      <c r="CC61" s="88"/>
    </row>
    <row r="62" spans="1:81" ht="15" customHeight="1" x14ac:dyDescent="0.25">
      <c r="A62" s="21"/>
      <c r="B62" s="28"/>
      <c r="C62" s="86"/>
      <c r="D62" s="86"/>
      <c r="E62" s="86"/>
      <c r="F62" s="86"/>
      <c r="G62" s="86"/>
      <c r="H62" s="85"/>
      <c r="I62" s="86"/>
      <c r="J62" s="87"/>
      <c r="K62" s="87"/>
      <c r="L62" s="65"/>
      <c r="M62" s="65"/>
      <c r="N62" s="65"/>
      <c r="O62" s="65"/>
      <c r="P62" s="65"/>
      <c r="Q62" s="65"/>
      <c r="R62" s="65"/>
      <c r="S62" s="65"/>
      <c r="T62" s="88"/>
      <c r="U62" s="88"/>
      <c r="V62" s="88"/>
      <c r="W62" s="88"/>
      <c r="X62" s="88"/>
      <c r="Y62" s="88"/>
      <c r="Z62" s="88"/>
      <c r="AA62" s="88"/>
      <c r="AB62" s="88"/>
      <c r="AC62" s="88"/>
      <c r="AD62" s="88"/>
      <c r="AE62" s="88"/>
      <c r="AF62" s="88"/>
      <c r="AG62" s="88"/>
      <c r="AH62" s="88"/>
      <c r="AI62" s="88"/>
      <c r="AJ62" s="88"/>
      <c r="AK62" s="88"/>
      <c r="AL62" s="88"/>
      <c r="AM62" s="88"/>
      <c r="AN62" s="88"/>
      <c r="AO62" s="88"/>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c r="BS62" s="88"/>
      <c r="BT62" s="88"/>
      <c r="BU62" s="88"/>
      <c r="BV62" s="88"/>
      <c r="BW62" s="88"/>
      <c r="BX62" s="88"/>
      <c r="BY62" s="88"/>
      <c r="BZ62" s="88"/>
      <c r="CA62" s="88"/>
      <c r="CB62" s="88"/>
      <c r="CC62" s="88"/>
    </row>
    <row r="63" spans="1:81" ht="15" customHeight="1" x14ac:dyDescent="0.25">
      <c r="A63" s="21"/>
      <c r="B63" s="28"/>
      <c r="C63" s="122"/>
      <c r="D63" s="86"/>
      <c r="E63" s="86"/>
      <c r="F63" s="86"/>
      <c r="G63" s="86"/>
      <c r="H63" s="85"/>
      <c r="I63" s="86"/>
      <c r="J63" s="87"/>
      <c r="K63" s="87"/>
      <c r="L63" s="65"/>
      <c r="M63" s="65"/>
      <c r="N63" s="65"/>
      <c r="O63" s="65"/>
      <c r="P63" s="65"/>
      <c r="Q63" s="65"/>
      <c r="R63" s="65"/>
      <c r="S63" s="65"/>
      <c r="T63" s="88"/>
      <c r="U63" s="88"/>
      <c r="V63" s="88"/>
      <c r="W63" s="88"/>
      <c r="X63" s="88"/>
      <c r="Y63" s="88"/>
      <c r="Z63" s="88"/>
      <c r="AA63" s="88"/>
      <c r="AB63" s="88"/>
      <c r="AC63" s="88"/>
      <c r="AD63" s="88"/>
      <c r="AE63" s="88"/>
      <c r="AF63" s="88"/>
      <c r="AG63" s="88"/>
      <c r="AH63" s="88"/>
      <c r="AI63" s="88"/>
      <c r="AJ63" s="88"/>
      <c r="AK63" s="88"/>
      <c r="AL63" s="88"/>
      <c r="AM63" s="88"/>
      <c r="AN63" s="88"/>
      <c r="AO63" s="88"/>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c r="BS63" s="88"/>
      <c r="BT63" s="88"/>
      <c r="BU63" s="88"/>
      <c r="BV63" s="88"/>
      <c r="BW63" s="88"/>
      <c r="BX63" s="88"/>
      <c r="BY63" s="88"/>
      <c r="BZ63" s="88"/>
      <c r="CA63" s="88"/>
      <c r="CB63" s="88"/>
      <c r="CC63" s="88"/>
    </row>
    <row r="64" spans="1:81" ht="15" customHeight="1" x14ac:dyDescent="0.25">
      <c r="A64" s="21"/>
      <c r="B64" s="28"/>
      <c r="C64" s="122"/>
      <c r="D64" s="86"/>
      <c r="E64" s="86"/>
      <c r="F64" s="86"/>
      <c r="G64" s="86"/>
      <c r="H64" s="85"/>
      <c r="I64" s="86"/>
      <c r="J64" s="87"/>
      <c r="K64" s="87"/>
      <c r="L64" s="65"/>
      <c r="M64" s="65"/>
      <c r="N64" s="65"/>
      <c r="O64" s="65"/>
      <c r="P64" s="65"/>
      <c r="Q64" s="65"/>
      <c r="R64" s="65"/>
      <c r="S64" s="65"/>
      <c r="T64" s="88"/>
      <c r="U64" s="88"/>
      <c r="V64" s="88"/>
      <c r="W64" s="88"/>
      <c r="X64" s="88"/>
      <c r="Y64" s="88"/>
      <c r="Z64" s="88"/>
      <c r="AA64" s="88"/>
      <c r="AB64" s="88"/>
      <c r="AC64" s="88"/>
      <c r="AD64" s="88"/>
      <c r="AE64" s="88"/>
      <c r="AF64" s="88"/>
      <c r="AG64" s="88"/>
      <c r="AH64" s="88"/>
      <c r="AI64" s="88"/>
      <c r="AJ64" s="88"/>
      <c r="AK64" s="88"/>
      <c r="AL64" s="88"/>
      <c r="AM64" s="88"/>
      <c r="AN64" s="88"/>
      <c r="AO64" s="88"/>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88"/>
      <c r="BZ64" s="88"/>
      <c r="CA64" s="88"/>
      <c r="CB64" s="88"/>
      <c r="CC64" s="88"/>
    </row>
    <row r="65" spans="1:81" ht="15" customHeight="1" x14ac:dyDescent="0.25">
      <c r="A65" s="21"/>
      <c r="B65" s="28"/>
      <c r="C65" s="86"/>
      <c r="D65" s="86"/>
      <c r="E65" s="86"/>
      <c r="F65" s="86"/>
      <c r="G65" s="86"/>
      <c r="H65" s="85"/>
      <c r="I65" s="86"/>
      <c r="J65" s="87"/>
      <c r="K65" s="87"/>
      <c r="L65" s="65"/>
      <c r="M65" s="65"/>
      <c r="N65" s="65"/>
      <c r="O65" s="65"/>
      <c r="P65" s="65"/>
      <c r="Q65" s="65"/>
      <c r="R65" s="65"/>
      <c r="S65" s="65"/>
      <c r="T65" s="88"/>
      <c r="U65" s="88"/>
      <c r="V65" s="88"/>
      <c r="W65" s="88"/>
      <c r="X65" s="88"/>
      <c r="Y65" s="88"/>
      <c r="Z65" s="88"/>
      <c r="AA65" s="88"/>
      <c r="AB65" s="88"/>
      <c r="AC65" s="88"/>
      <c r="AD65" s="88"/>
      <c r="AE65" s="88"/>
      <c r="AF65" s="88"/>
      <c r="AG65" s="88"/>
      <c r="AH65" s="88"/>
      <c r="AI65" s="88"/>
      <c r="AJ65" s="88"/>
      <c r="AK65" s="88"/>
      <c r="AL65" s="88"/>
      <c r="AM65" s="88"/>
      <c r="AN65" s="88"/>
      <c r="AO65" s="88"/>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c r="BS65" s="88"/>
      <c r="BT65" s="88"/>
      <c r="BU65" s="88"/>
      <c r="BV65" s="88"/>
      <c r="BW65" s="88"/>
      <c r="BX65" s="88"/>
      <c r="BY65" s="88"/>
      <c r="BZ65" s="88"/>
      <c r="CA65" s="88"/>
      <c r="CB65" s="88"/>
      <c r="CC65" s="88"/>
    </row>
    <row r="66" spans="1:81" ht="15" customHeight="1" x14ac:dyDescent="0.25">
      <c r="A66" s="21"/>
      <c r="B66" s="28"/>
      <c r="C66" s="86"/>
      <c r="D66" s="86"/>
      <c r="E66" s="86"/>
      <c r="F66" s="86"/>
      <c r="G66" s="86"/>
      <c r="H66" s="50"/>
      <c r="I66" s="21"/>
      <c r="J66" s="14"/>
      <c r="K66" s="14"/>
      <c r="L66" s="65"/>
      <c r="M66" s="65"/>
      <c r="N66" s="65"/>
      <c r="O66" s="65"/>
      <c r="P66" s="65"/>
      <c r="Q66" s="65"/>
      <c r="R66" s="65"/>
      <c r="S66" s="65"/>
    </row>
    <row r="67" spans="1:81" ht="15" customHeight="1" x14ac:dyDescent="0.25">
      <c r="A67" s="21"/>
      <c r="B67" s="28"/>
      <c r="C67" s="86"/>
      <c r="D67" s="86"/>
      <c r="E67" s="86"/>
      <c r="F67" s="86"/>
      <c r="G67" s="86"/>
      <c r="H67" s="50"/>
      <c r="I67" s="21"/>
      <c r="J67" s="14"/>
      <c r="K67" s="14"/>
      <c r="L67" s="65"/>
      <c r="M67" s="65"/>
      <c r="N67" s="65"/>
      <c r="O67" s="65"/>
      <c r="P67" s="65"/>
      <c r="Q67" s="65"/>
      <c r="R67" s="65"/>
      <c r="S67" s="65"/>
    </row>
    <row r="68" spans="1:81" ht="15" customHeight="1" x14ac:dyDescent="0.25">
      <c r="A68" s="21"/>
      <c r="B68" s="28"/>
      <c r="C68" s="86"/>
      <c r="D68" s="86"/>
      <c r="E68" s="86"/>
      <c r="F68" s="86"/>
      <c r="G68" s="86"/>
      <c r="H68" s="50"/>
      <c r="I68" s="21"/>
      <c r="J68" s="14"/>
      <c r="K68" s="14"/>
      <c r="L68" s="65"/>
      <c r="M68" s="65"/>
      <c r="N68" s="65"/>
      <c r="O68" s="65"/>
      <c r="P68" s="65"/>
      <c r="Q68" s="65"/>
      <c r="R68" s="65"/>
      <c r="S68" s="65"/>
    </row>
    <row r="69" spans="1:81" ht="15" customHeight="1" x14ac:dyDescent="0.25">
      <c r="A69" s="21"/>
      <c r="B69" s="28"/>
      <c r="C69" s="56"/>
      <c r="D69" s="57"/>
      <c r="E69" s="29"/>
      <c r="F69" s="54"/>
      <c r="G69" s="58"/>
      <c r="H69" s="50"/>
      <c r="I69" s="21"/>
      <c r="J69" s="14"/>
      <c r="K69" s="14"/>
      <c r="L69" s="66"/>
      <c r="M69" s="66"/>
      <c r="N69" s="66"/>
      <c r="O69" s="66"/>
      <c r="P69" s="66"/>
      <c r="Q69" s="65"/>
      <c r="R69" s="65"/>
      <c r="S69" s="65"/>
    </row>
    <row r="70" spans="1:81" ht="15" customHeight="1" x14ac:dyDescent="0.25">
      <c r="A70" s="21"/>
      <c r="B70" s="28"/>
      <c r="C70" s="56" t="s">
        <v>84</v>
      </c>
      <c r="D70" s="57"/>
      <c r="E70" s="29"/>
      <c r="F70" s="54"/>
      <c r="G70" s="58"/>
      <c r="H70" s="50"/>
      <c r="I70" s="21"/>
      <c r="J70" s="14"/>
      <c r="K70" s="14"/>
      <c r="L70" s="66"/>
      <c r="M70" s="66"/>
      <c r="N70" s="66"/>
      <c r="O70" s="66"/>
      <c r="P70" s="66"/>
      <c r="Q70" s="65"/>
      <c r="R70" s="65"/>
      <c r="S70" s="65"/>
    </row>
    <row r="71" spans="1:81" ht="15" customHeight="1" x14ac:dyDescent="0.25">
      <c r="A71" s="21"/>
      <c r="B71" s="28"/>
      <c r="C71" s="90"/>
      <c r="D71" s="57"/>
      <c r="E71" s="29"/>
      <c r="F71" s="54"/>
      <c r="G71" s="58"/>
      <c r="H71" s="59"/>
      <c r="I71" s="21"/>
      <c r="J71" s="14"/>
      <c r="K71" s="14"/>
      <c r="L71" s="66"/>
      <c r="M71" s="66"/>
      <c r="N71" s="66"/>
      <c r="O71" s="66"/>
      <c r="P71" s="66"/>
      <c r="Q71" s="65"/>
      <c r="R71" s="65"/>
      <c r="S71" s="65"/>
    </row>
    <row r="72" spans="1:81" ht="15" customHeight="1" x14ac:dyDescent="0.25">
      <c r="A72" s="21"/>
      <c r="B72" s="28"/>
      <c r="C72" s="21"/>
      <c r="D72" s="21"/>
      <c r="E72" s="46"/>
      <c r="F72" s="54"/>
      <c r="G72" s="58"/>
      <c r="H72" s="59"/>
      <c r="I72" s="21"/>
      <c r="J72" s="14"/>
      <c r="K72" s="14"/>
      <c r="L72" s="66"/>
      <c r="M72" s="66"/>
      <c r="N72" s="66"/>
      <c r="O72" s="66"/>
      <c r="P72" s="66"/>
      <c r="Q72" s="65"/>
      <c r="R72" s="65"/>
      <c r="S72" s="65"/>
    </row>
    <row r="73" spans="1:81" ht="15" customHeight="1" x14ac:dyDescent="0.25">
      <c r="A73" s="21"/>
      <c r="B73" s="28"/>
      <c r="C73" s="21"/>
      <c r="D73" s="21"/>
      <c r="E73" s="60"/>
      <c r="F73" s="38"/>
      <c r="G73" s="58"/>
      <c r="H73" s="59"/>
      <c r="I73" s="21"/>
      <c r="J73" s="14"/>
      <c r="K73" s="14"/>
      <c r="L73" s="66"/>
      <c r="M73" s="66"/>
      <c r="N73" s="66"/>
      <c r="O73" s="66"/>
      <c r="P73" s="66"/>
      <c r="Q73" s="65"/>
      <c r="R73" s="65"/>
      <c r="S73" s="65"/>
    </row>
    <row r="74" spans="1:81" ht="15" customHeight="1" x14ac:dyDescent="0.25">
      <c r="A74" s="21"/>
      <c r="B74" s="28"/>
      <c r="C74" s="47"/>
      <c r="D74" s="21"/>
      <c r="E74" s="29"/>
      <c r="F74" s="21"/>
      <c r="G74" s="21"/>
      <c r="H74" s="50"/>
      <c r="I74" s="21"/>
      <c r="J74" s="14"/>
      <c r="K74" s="14"/>
      <c r="L74" s="66"/>
      <c r="M74" s="66"/>
      <c r="N74" s="66"/>
      <c r="O74" s="66"/>
      <c r="P74" s="66"/>
      <c r="Q74" s="65"/>
      <c r="R74" s="65"/>
      <c r="S74" s="65"/>
    </row>
    <row r="75" spans="1:81" ht="15" customHeight="1" x14ac:dyDescent="0.25">
      <c r="A75" s="21"/>
      <c r="B75" s="28"/>
      <c r="C75" s="21"/>
      <c r="D75" s="21"/>
      <c r="E75" s="54"/>
      <c r="F75" s="54"/>
      <c r="G75" s="54"/>
      <c r="H75" s="50"/>
      <c r="I75" s="21"/>
      <c r="J75" s="14"/>
      <c r="K75" s="14"/>
      <c r="L75" s="65"/>
      <c r="M75" s="65"/>
      <c r="N75" s="65"/>
      <c r="O75" s="65"/>
      <c r="P75" s="65"/>
      <c r="Q75" s="65"/>
      <c r="R75" s="65"/>
      <c r="S75" s="65"/>
    </row>
    <row r="76" spans="1:81" ht="15" customHeight="1" x14ac:dyDescent="0.25">
      <c r="A76" s="21"/>
      <c r="B76" s="28"/>
      <c r="C76" s="47" t="s">
        <v>0</v>
      </c>
      <c r="D76" s="21"/>
      <c r="E76" s="29"/>
      <c r="F76" s="54"/>
      <c r="G76" s="54"/>
      <c r="H76" s="26"/>
      <c r="I76" s="21"/>
      <c r="J76" s="14"/>
      <c r="K76" s="14"/>
      <c r="L76" s="65"/>
      <c r="M76" s="67"/>
      <c r="N76" s="65"/>
      <c r="O76" s="65"/>
      <c r="P76" s="65"/>
      <c r="Q76" s="65"/>
      <c r="R76" s="65"/>
      <c r="S76" s="65"/>
    </row>
    <row r="77" spans="1:81" ht="15" customHeight="1" x14ac:dyDescent="0.25">
      <c r="A77" s="21"/>
      <c r="B77" s="28"/>
      <c r="C77" s="47" t="str">
        <f>Offer!Q7</f>
        <v>John Doe</v>
      </c>
      <c r="D77" s="21"/>
      <c r="E77" s="29"/>
      <c r="F77" s="54"/>
      <c r="G77" s="54"/>
      <c r="H77" s="26"/>
      <c r="I77" s="21"/>
      <c r="J77" s="14"/>
      <c r="K77" s="14"/>
      <c r="L77" s="68"/>
      <c r="M77" s="65"/>
      <c r="N77" s="65"/>
      <c r="O77" s="65"/>
      <c r="P77" s="65"/>
      <c r="Q77" s="65"/>
      <c r="R77" s="65"/>
      <c r="S77" s="65"/>
    </row>
    <row r="78" spans="1:81" ht="15" customHeight="1" x14ac:dyDescent="0.25">
      <c r="A78" s="21"/>
      <c r="B78" s="28"/>
      <c r="C78" s="61" t="str">
        <f>Offer!Q10</f>
        <v>+1.999.999.999.999</v>
      </c>
      <c r="D78" s="21"/>
      <c r="E78" s="29"/>
      <c r="F78" s="32"/>
      <c r="G78" s="32"/>
      <c r="H78" s="26"/>
      <c r="I78" s="21"/>
      <c r="J78" s="14"/>
      <c r="K78" s="14"/>
      <c r="L78" s="65"/>
      <c r="M78" s="65"/>
      <c r="N78" s="65"/>
      <c r="O78" s="65"/>
      <c r="P78" s="65"/>
      <c r="Q78" s="65"/>
      <c r="R78" s="65"/>
      <c r="S78" s="65"/>
    </row>
    <row r="79" spans="1:81" ht="15" customHeight="1" x14ac:dyDescent="0.25">
      <c r="A79" s="21"/>
      <c r="B79" s="28"/>
      <c r="C79" s="9" t="str">
        <f>Offer!Q11</f>
        <v>john.doe@does-incorporated.com</v>
      </c>
      <c r="D79" s="21"/>
      <c r="E79" s="29"/>
      <c r="F79" s="32"/>
      <c r="G79" s="21"/>
      <c r="H79" s="26"/>
      <c r="I79" s="21"/>
      <c r="J79" s="14"/>
      <c r="K79" s="14"/>
      <c r="L79" s="65"/>
      <c r="M79" s="65"/>
      <c r="N79" s="65"/>
      <c r="O79" s="65"/>
      <c r="P79" s="65"/>
      <c r="Q79" s="65"/>
      <c r="R79" s="65"/>
      <c r="S79" s="65"/>
    </row>
    <row r="80" spans="1:81" ht="15" customHeight="1" thickBot="1" x14ac:dyDescent="0.3">
      <c r="A80" s="21"/>
      <c r="B80" s="31"/>
      <c r="C80" s="62"/>
      <c r="D80" s="62"/>
      <c r="E80" s="63"/>
      <c r="F80" s="64"/>
      <c r="G80" s="62"/>
      <c r="H80" s="27"/>
      <c r="I80" s="21"/>
      <c r="J80" s="14"/>
      <c r="K80" s="14"/>
      <c r="L80" s="65"/>
      <c r="M80" s="65"/>
      <c r="N80" s="65"/>
      <c r="O80" s="65"/>
      <c r="P80" s="65"/>
      <c r="Q80" s="65"/>
      <c r="R80" s="65"/>
      <c r="S80" s="65"/>
    </row>
    <row r="81" spans="1:19" ht="15" customHeight="1" thickTop="1" thickBot="1" x14ac:dyDescent="0.3">
      <c r="A81" s="21"/>
      <c r="B81" s="21"/>
      <c r="C81" s="21"/>
      <c r="D81" s="21"/>
      <c r="E81" s="29"/>
      <c r="F81" s="32"/>
      <c r="G81" s="32"/>
      <c r="H81" s="21"/>
      <c r="I81" s="21"/>
      <c r="J81" s="16"/>
      <c r="K81" s="14"/>
      <c r="L81" s="65"/>
      <c r="M81" s="65"/>
      <c r="N81" s="65"/>
      <c r="O81" s="65"/>
      <c r="P81" s="65"/>
      <c r="Q81" s="65"/>
      <c r="R81" s="65"/>
      <c r="S81" s="65"/>
    </row>
    <row r="82" spans="1:19" ht="15" thickTop="1" x14ac:dyDescent="0.25">
      <c r="I82" s="2"/>
      <c r="J82" s="14"/>
      <c r="K82" s="14"/>
      <c r="L82" s="65"/>
      <c r="M82" s="65"/>
      <c r="N82" s="65"/>
      <c r="O82" s="65"/>
      <c r="P82" s="65"/>
      <c r="Q82" s="65"/>
      <c r="R82" s="65"/>
      <c r="S82" s="65"/>
    </row>
    <row r="83" spans="1:19" x14ac:dyDescent="0.25">
      <c r="F83" s="3"/>
      <c r="G83" s="3"/>
      <c r="J83" s="14"/>
      <c r="K83" s="14"/>
      <c r="L83" s="65"/>
      <c r="M83" s="65"/>
      <c r="N83" s="65"/>
      <c r="O83" s="65"/>
      <c r="P83" s="65"/>
      <c r="Q83" s="65"/>
      <c r="R83" s="65"/>
      <c r="S83" s="65"/>
    </row>
    <row r="84" spans="1:19" x14ac:dyDescent="0.25">
      <c r="J84" s="14"/>
      <c r="K84" s="14"/>
      <c r="L84" s="14" t="s">
        <v>44</v>
      </c>
      <c r="M84" s="14"/>
      <c r="N84" s="14"/>
      <c r="O84" s="14"/>
      <c r="P84" s="14"/>
      <c r="Q84" s="14"/>
      <c r="R84" s="14"/>
      <c r="S84" s="14"/>
    </row>
    <row r="85" spans="1:19" x14ac:dyDescent="0.25">
      <c r="J85" s="14"/>
      <c r="K85" s="14"/>
      <c r="L85" s="14" t="s">
        <v>45</v>
      </c>
      <c r="M85" s="14"/>
      <c r="N85" s="14"/>
      <c r="O85" s="14"/>
      <c r="P85" s="14"/>
      <c r="Q85" s="14"/>
      <c r="R85" s="14"/>
      <c r="S85" s="14"/>
    </row>
    <row r="86" spans="1:19" x14ac:dyDescent="0.25">
      <c r="J86" s="14"/>
      <c r="K86" s="14"/>
      <c r="L86" s="14"/>
      <c r="M86" s="14"/>
      <c r="N86" s="14"/>
      <c r="O86" s="14"/>
      <c r="P86" s="14"/>
      <c r="Q86" s="14"/>
      <c r="R86" s="14"/>
      <c r="S86" s="14"/>
    </row>
    <row r="87" spans="1:19" x14ac:dyDescent="0.25">
      <c r="J87" s="14"/>
      <c r="K87" s="14"/>
      <c r="L87" s="14"/>
      <c r="M87" s="14"/>
      <c r="N87" s="14"/>
      <c r="O87" s="14"/>
      <c r="P87" s="14"/>
      <c r="Q87" s="14"/>
      <c r="R87" s="14"/>
      <c r="S87" s="14"/>
    </row>
    <row r="88" spans="1:19" ht="15" x14ac:dyDescent="0.25">
      <c r="C88" s="69"/>
      <c r="J88" s="14"/>
      <c r="K88" s="14"/>
      <c r="L88" s="14"/>
      <c r="M88" s="14"/>
      <c r="N88" s="14"/>
      <c r="O88" s="14"/>
      <c r="P88" s="14"/>
      <c r="Q88" s="14"/>
      <c r="R88" s="14"/>
      <c r="S88" s="14"/>
    </row>
    <row r="89" spans="1:19" x14ac:dyDescent="0.25">
      <c r="J89" s="14"/>
      <c r="K89" s="14"/>
      <c r="L89" s="14"/>
      <c r="M89" s="14"/>
      <c r="N89" s="14"/>
      <c r="O89" s="14"/>
      <c r="P89" s="14"/>
      <c r="Q89" s="14"/>
      <c r="R89" s="14"/>
      <c r="S89" s="14"/>
    </row>
    <row r="90" spans="1:19" x14ac:dyDescent="0.25">
      <c r="J90" s="14"/>
      <c r="K90" s="14"/>
      <c r="L90" s="14"/>
      <c r="M90" s="14"/>
      <c r="N90" s="14"/>
      <c r="O90" s="14"/>
      <c r="P90" s="14"/>
      <c r="Q90" s="14"/>
      <c r="R90" s="14"/>
      <c r="S90" s="14"/>
    </row>
    <row r="91" spans="1:19" x14ac:dyDescent="0.25">
      <c r="J91" s="14"/>
      <c r="K91" s="14"/>
      <c r="L91" s="14"/>
      <c r="M91" s="14"/>
      <c r="N91" s="14"/>
      <c r="O91" s="14"/>
      <c r="P91" s="14"/>
      <c r="Q91" s="14"/>
      <c r="R91" s="14"/>
      <c r="S91" s="14"/>
    </row>
    <row r="92" spans="1:19" x14ac:dyDescent="0.25">
      <c r="J92" s="14"/>
      <c r="K92" s="14"/>
      <c r="L92" s="14"/>
      <c r="M92" s="14"/>
      <c r="N92" s="14"/>
      <c r="O92" s="14"/>
      <c r="P92" s="14"/>
      <c r="Q92" s="14"/>
      <c r="R92" s="14"/>
      <c r="S92" s="14"/>
    </row>
    <row r="93" spans="1:19" x14ac:dyDescent="0.25">
      <c r="J93" s="14"/>
      <c r="K93" s="14"/>
      <c r="L93" s="14"/>
      <c r="M93" s="14"/>
      <c r="N93" s="14"/>
      <c r="O93" s="14"/>
      <c r="P93" s="14"/>
      <c r="Q93" s="14"/>
      <c r="R93" s="14"/>
      <c r="S93" s="14"/>
    </row>
    <row r="94" spans="1:19" x14ac:dyDescent="0.25">
      <c r="J94" s="14"/>
      <c r="K94" s="14"/>
      <c r="L94" s="14"/>
      <c r="M94" s="14"/>
      <c r="N94" s="14"/>
      <c r="O94" s="14"/>
      <c r="P94" s="14"/>
      <c r="Q94" s="14"/>
      <c r="R94" s="14"/>
      <c r="S94" s="14"/>
    </row>
    <row r="95" spans="1:19" ht="15" x14ac:dyDescent="0.25">
      <c r="D95" s="4"/>
      <c r="J95" s="14"/>
      <c r="K95" s="14"/>
      <c r="L95" s="14"/>
      <c r="M95" s="14"/>
      <c r="N95" s="14"/>
      <c r="O95" s="14"/>
      <c r="P95" s="14"/>
      <c r="Q95" s="14"/>
      <c r="R95" s="14"/>
      <c r="S95" s="14"/>
    </row>
    <row r="96" spans="1:19" x14ac:dyDescent="0.25">
      <c r="J96" s="14"/>
      <c r="K96" s="14"/>
      <c r="L96" s="14"/>
      <c r="M96" s="14"/>
      <c r="N96" s="14"/>
      <c r="O96" s="14"/>
      <c r="P96" s="14"/>
      <c r="Q96" s="14"/>
      <c r="R96" s="14"/>
      <c r="S96" s="14"/>
    </row>
    <row r="97" spans="10:19" x14ac:dyDescent="0.25">
      <c r="J97" s="14"/>
      <c r="K97" s="14"/>
      <c r="L97" s="14"/>
      <c r="M97" s="14"/>
      <c r="N97" s="14"/>
      <c r="O97" s="14"/>
      <c r="P97" s="14"/>
      <c r="Q97" s="14"/>
      <c r="R97" s="14"/>
      <c r="S97" s="14"/>
    </row>
    <row r="98" spans="10:19" x14ac:dyDescent="0.25">
      <c r="J98" s="14"/>
      <c r="K98" s="14"/>
      <c r="L98" s="14"/>
      <c r="M98" s="14"/>
      <c r="N98" s="14"/>
      <c r="O98" s="14"/>
      <c r="P98" s="14"/>
      <c r="Q98" s="14"/>
      <c r="R98" s="14"/>
      <c r="S98" s="14"/>
    </row>
    <row r="99" spans="10:19" x14ac:dyDescent="0.25">
      <c r="J99" s="14"/>
      <c r="K99" s="14"/>
      <c r="L99" s="14"/>
      <c r="M99" s="14"/>
      <c r="N99" s="14"/>
      <c r="O99" s="14"/>
      <c r="P99" s="14"/>
      <c r="Q99" s="14"/>
      <c r="R99" s="14"/>
      <c r="S99" s="14"/>
    </row>
    <row r="100" spans="10:19" x14ac:dyDescent="0.25">
      <c r="J100" s="14"/>
      <c r="K100" s="14"/>
      <c r="L100" s="14"/>
      <c r="M100" s="14"/>
      <c r="N100" s="14"/>
      <c r="O100" s="14"/>
      <c r="P100" s="14"/>
      <c r="Q100" s="14"/>
      <c r="R100" s="14"/>
      <c r="S100" s="14"/>
    </row>
    <row r="101" spans="10:19" x14ac:dyDescent="0.25">
      <c r="J101" s="14"/>
      <c r="K101" s="14"/>
      <c r="L101" s="14"/>
      <c r="M101" s="14"/>
      <c r="N101" s="14"/>
      <c r="O101" s="14"/>
      <c r="P101" s="14"/>
      <c r="Q101" s="14"/>
      <c r="R101" s="14"/>
      <c r="S101" s="14"/>
    </row>
    <row r="102" spans="10:19" x14ac:dyDescent="0.25">
      <c r="J102" s="14"/>
      <c r="K102" s="14"/>
      <c r="L102" s="14"/>
      <c r="M102" s="14"/>
      <c r="N102" s="14"/>
      <c r="O102" s="14"/>
      <c r="P102" s="14"/>
      <c r="Q102" s="14"/>
      <c r="R102" s="14"/>
      <c r="S102" s="14"/>
    </row>
    <row r="103" spans="10:19" x14ac:dyDescent="0.25">
      <c r="J103" s="14"/>
      <c r="K103" s="14"/>
      <c r="L103" s="14"/>
      <c r="M103" s="14"/>
      <c r="N103" s="14"/>
      <c r="O103" s="14"/>
      <c r="P103" s="14"/>
      <c r="Q103" s="14"/>
      <c r="R103" s="14"/>
      <c r="S103" s="14"/>
    </row>
    <row r="104" spans="10:19" x14ac:dyDescent="0.25">
      <c r="J104" s="14"/>
      <c r="K104" s="14"/>
      <c r="L104" s="14"/>
      <c r="M104" s="14"/>
      <c r="N104" s="14"/>
      <c r="O104" s="14"/>
      <c r="P104" s="14"/>
      <c r="Q104" s="14"/>
      <c r="R104" s="14"/>
      <c r="S104" s="14"/>
    </row>
    <row r="105" spans="10:19" x14ac:dyDescent="0.25">
      <c r="J105" s="14"/>
      <c r="K105" s="14"/>
      <c r="L105" s="14"/>
      <c r="M105" s="14"/>
      <c r="N105" s="14"/>
      <c r="O105" s="14"/>
      <c r="P105" s="14"/>
      <c r="Q105" s="14"/>
      <c r="R105" s="14"/>
      <c r="S105" s="14"/>
    </row>
    <row r="106" spans="10:19" x14ac:dyDescent="0.25">
      <c r="J106" s="14"/>
      <c r="K106" s="14"/>
      <c r="L106" s="14"/>
      <c r="M106" s="14"/>
      <c r="N106" s="14"/>
      <c r="O106" s="14"/>
      <c r="P106" s="14"/>
      <c r="Q106" s="14"/>
      <c r="R106" s="14"/>
      <c r="S106" s="14"/>
    </row>
    <row r="107" spans="10:19" x14ac:dyDescent="0.25">
      <c r="J107" s="14"/>
      <c r="K107" s="14"/>
      <c r="L107" s="14"/>
      <c r="M107" s="14"/>
      <c r="N107" s="14"/>
      <c r="O107" s="14"/>
      <c r="P107" s="14"/>
      <c r="Q107" s="14"/>
      <c r="R107" s="14"/>
      <c r="S107" s="14"/>
    </row>
    <row r="108" spans="10:19" x14ac:dyDescent="0.25">
      <c r="J108" s="14"/>
      <c r="K108" s="14"/>
      <c r="L108" s="14"/>
      <c r="M108" s="14"/>
      <c r="N108" s="14"/>
      <c r="O108" s="14"/>
      <c r="P108" s="14"/>
      <c r="Q108" s="14"/>
      <c r="R108" s="14"/>
      <c r="S108" s="14"/>
    </row>
    <row r="109" spans="10:19" x14ac:dyDescent="0.25">
      <c r="J109" s="14"/>
      <c r="K109" s="14"/>
      <c r="L109" s="14"/>
      <c r="M109" s="14"/>
      <c r="N109" s="14"/>
      <c r="O109" s="14"/>
      <c r="P109" s="14"/>
      <c r="Q109" s="14"/>
      <c r="R109" s="14"/>
      <c r="S109" s="14"/>
    </row>
    <row r="110" spans="10:19" x14ac:dyDescent="0.25">
      <c r="J110" s="14"/>
      <c r="K110" s="14"/>
      <c r="L110" s="14"/>
      <c r="M110" s="14"/>
      <c r="N110" s="14"/>
      <c r="O110" s="14"/>
      <c r="P110" s="14"/>
      <c r="Q110" s="14"/>
      <c r="R110" s="14"/>
      <c r="S110" s="14"/>
    </row>
    <row r="111" spans="10:19" x14ac:dyDescent="0.25">
      <c r="J111" s="14"/>
      <c r="K111" s="14"/>
      <c r="L111" s="14"/>
      <c r="M111" s="14"/>
      <c r="N111" s="14"/>
      <c r="O111" s="14"/>
      <c r="P111" s="14"/>
      <c r="Q111" s="14"/>
      <c r="R111" s="14"/>
      <c r="S111" s="14"/>
    </row>
    <row r="112" spans="10:19" x14ac:dyDescent="0.25">
      <c r="J112" s="14"/>
      <c r="K112" s="14"/>
      <c r="L112" s="14"/>
      <c r="M112" s="14"/>
      <c r="N112" s="14"/>
      <c r="O112" s="14"/>
      <c r="P112" s="14"/>
      <c r="Q112" s="14"/>
      <c r="R112" s="14"/>
      <c r="S112" s="14"/>
    </row>
    <row r="113" spans="10:19" x14ac:dyDescent="0.25">
      <c r="J113" s="14"/>
      <c r="K113" s="14"/>
      <c r="L113" s="14"/>
      <c r="M113" s="14"/>
      <c r="N113" s="14"/>
      <c r="O113" s="14"/>
      <c r="P113" s="14"/>
      <c r="Q113" s="14"/>
      <c r="R113" s="14"/>
      <c r="S113" s="14"/>
    </row>
    <row r="114" spans="10:19" x14ac:dyDescent="0.25">
      <c r="J114" s="14"/>
      <c r="K114" s="14"/>
      <c r="L114" s="14"/>
      <c r="M114" s="14"/>
      <c r="N114" s="14"/>
      <c r="O114" s="14"/>
      <c r="P114" s="14"/>
      <c r="Q114" s="14"/>
      <c r="R114" s="14"/>
      <c r="S114" s="14"/>
    </row>
    <row r="115" spans="10:19" x14ac:dyDescent="0.25">
      <c r="J115" s="14"/>
      <c r="K115" s="14"/>
      <c r="L115" s="14"/>
      <c r="M115" s="14"/>
      <c r="N115" s="14"/>
      <c r="O115" s="14"/>
      <c r="P115" s="14"/>
      <c r="Q115" s="14"/>
      <c r="R115" s="14"/>
      <c r="S115" s="14"/>
    </row>
    <row r="116" spans="10:19" x14ac:dyDescent="0.25">
      <c r="J116" s="14"/>
      <c r="K116" s="14"/>
      <c r="L116" s="14"/>
      <c r="M116" s="14"/>
      <c r="N116" s="14"/>
      <c r="O116" s="14"/>
      <c r="P116" s="14"/>
      <c r="Q116" s="14"/>
      <c r="R116" s="14"/>
      <c r="S116" s="14"/>
    </row>
    <row r="117" spans="10:19" x14ac:dyDescent="0.25">
      <c r="J117" s="14"/>
      <c r="K117" s="14"/>
      <c r="L117" s="14"/>
      <c r="M117" s="14"/>
      <c r="N117" s="14"/>
      <c r="O117" s="14"/>
      <c r="P117" s="14"/>
      <c r="Q117" s="14"/>
      <c r="R117" s="14"/>
      <c r="S117" s="14"/>
    </row>
    <row r="118" spans="10:19" x14ac:dyDescent="0.25">
      <c r="J118" s="14"/>
      <c r="K118" s="14"/>
      <c r="L118" s="14"/>
      <c r="M118" s="14"/>
      <c r="N118" s="14"/>
      <c r="O118" s="14"/>
      <c r="P118" s="14"/>
      <c r="Q118" s="14"/>
      <c r="R118" s="14"/>
      <c r="S118" s="14"/>
    </row>
    <row r="129" s="1" customFormat="1" x14ac:dyDescent="0.25"/>
    <row r="130" s="1" customFormat="1" x14ac:dyDescent="0.25"/>
    <row r="131" s="1" customFormat="1" x14ac:dyDescent="0.25"/>
    <row r="132" s="1" customFormat="1" x14ac:dyDescent="0.25"/>
    <row r="133" s="1" customFormat="1" x14ac:dyDescent="0.25"/>
    <row r="134" s="1" customFormat="1" x14ac:dyDescent="0.25"/>
    <row r="135" s="1" customFormat="1" x14ac:dyDescent="0.25"/>
    <row r="136" s="1" customFormat="1" x14ac:dyDescent="0.25"/>
    <row r="137" s="1" customFormat="1" x14ac:dyDescent="0.25"/>
    <row r="138" s="1" customFormat="1" x14ac:dyDescent="0.25"/>
    <row r="139" s="1" customFormat="1" x14ac:dyDescent="0.25"/>
    <row r="140" s="1" customFormat="1" x14ac:dyDescent="0.25"/>
    <row r="141" s="1" customFormat="1" x14ac:dyDescent="0.25"/>
    <row r="142" s="1" customFormat="1" x14ac:dyDescent="0.25"/>
    <row r="143" s="1" customFormat="1" x14ac:dyDescent="0.25"/>
    <row r="144" s="1" customFormat="1" x14ac:dyDescent="0.25"/>
    <row r="145" s="1" customFormat="1" x14ac:dyDescent="0.25"/>
    <row r="146" s="1" customFormat="1" x14ac:dyDescent="0.25"/>
    <row r="147" s="1" customFormat="1" x14ac:dyDescent="0.25"/>
    <row r="148" s="1" customFormat="1" x14ac:dyDescent="0.25"/>
    <row r="149" s="1" customFormat="1" x14ac:dyDescent="0.25"/>
    <row r="150" s="1" customFormat="1" x14ac:dyDescent="0.25"/>
    <row r="151" s="1" customFormat="1" x14ac:dyDescent="0.25"/>
    <row r="152" s="1" customFormat="1" x14ac:dyDescent="0.25"/>
    <row r="153" s="1" customFormat="1" x14ac:dyDescent="0.25"/>
    <row r="154" s="1" customFormat="1" x14ac:dyDescent="0.25"/>
    <row r="155" s="1" customFormat="1" x14ac:dyDescent="0.25"/>
    <row r="156" s="1" customFormat="1" x14ac:dyDescent="0.25"/>
    <row r="157" s="1" customFormat="1" x14ac:dyDescent="0.25"/>
    <row r="158" s="1" customFormat="1" x14ac:dyDescent="0.25"/>
    <row r="159" s="1" customFormat="1" x14ac:dyDescent="0.25"/>
    <row r="160" s="1" customFormat="1" x14ac:dyDescent="0.25"/>
    <row r="161" s="1" customFormat="1" x14ac:dyDescent="0.25"/>
    <row r="162" s="1" customFormat="1" x14ac:dyDescent="0.25"/>
    <row r="163" s="1" customFormat="1" x14ac:dyDescent="0.25"/>
    <row r="164" s="1" customFormat="1" x14ac:dyDescent="0.25"/>
    <row r="165" s="1" customFormat="1" x14ac:dyDescent="0.25"/>
    <row r="166" s="1" customFormat="1" x14ac:dyDescent="0.25"/>
    <row r="167" s="1" customFormat="1" x14ac:dyDescent="0.25"/>
    <row r="168" s="1" customFormat="1" x14ac:dyDescent="0.25"/>
    <row r="169" s="1" customFormat="1" x14ac:dyDescent="0.25"/>
    <row r="170" s="1" customFormat="1" x14ac:dyDescent="0.25"/>
    <row r="171" s="1" customFormat="1" x14ac:dyDescent="0.25"/>
    <row r="172" s="1" customFormat="1" x14ac:dyDescent="0.25"/>
    <row r="173" s="1" customFormat="1" x14ac:dyDescent="0.25"/>
    <row r="174" s="1" customFormat="1" x14ac:dyDescent="0.25"/>
    <row r="175" s="1" customFormat="1" x14ac:dyDescent="0.25"/>
    <row r="176" s="1" customFormat="1" x14ac:dyDescent="0.25"/>
    <row r="177" s="1" customFormat="1" x14ac:dyDescent="0.25"/>
    <row r="178" s="1" customFormat="1" x14ac:dyDescent="0.25"/>
    <row r="179" s="1" customFormat="1" x14ac:dyDescent="0.25"/>
    <row r="180" s="1" customFormat="1" x14ac:dyDescent="0.25"/>
    <row r="181" s="1" customFormat="1" x14ac:dyDescent="0.25"/>
    <row r="182" s="1" customFormat="1" x14ac:dyDescent="0.25"/>
    <row r="183" s="1" customFormat="1" x14ac:dyDescent="0.25"/>
    <row r="184" s="1" customFormat="1" x14ac:dyDescent="0.25"/>
    <row r="185" s="1" customFormat="1" x14ac:dyDescent="0.25"/>
    <row r="186" s="1" customFormat="1" x14ac:dyDescent="0.25"/>
    <row r="187" s="1" customFormat="1" x14ac:dyDescent="0.25"/>
    <row r="188" s="1" customFormat="1" x14ac:dyDescent="0.25"/>
    <row r="189" s="1" customFormat="1" x14ac:dyDescent="0.25"/>
    <row r="190" s="1" customFormat="1" x14ac:dyDescent="0.25"/>
    <row r="191" s="1" customFormat="1" x14ac:dyDescent="0.25"/>
    <row r="192" s="1" customFormat="1" x14ac:dyDescent="0.25"/>
    <row r="193" s="1" customFormat="1" x14ac:dyDescent="0.25"/>
    <row r="194" s="1" customFormat="1" x14ac:dyDescent="0.25"/>
    <row r="195" s="1" customFormat="1" x14ac:dyDescent="0.25"/>
    <row r="196" s="1" customFormat="1" x14ac:dyDescent="0.25"/>
    <row r="197" s="1" customFormat="1" x14ac:dyDescent="0.25"/>
    <row r="198" s="1" customFormat="1" x14ac:dyDescent="0.25"/>
    <row r="199" s="1" customFormat="1" x14ac:dyDescent="0.25"/>
    <row r="200" s="1" customFormat="1" x14ac:dyDescent="0.25"/>
    <row r="201" s="1" customFormat="1" x14ac:dyDescent="0.25"/>
    <row r="202" s="1" customFormat="1" x14ac:dyDescent="0.25"/>
    <row r="203" s="1" customFormat="1" x14ac:dyDescent="0.25"/>
    <row r="204" s="1" customFormat="1" x14ac:dyDescent="0.25"/>
    <row r="205" s="1" customFormat="1" x14ac:dyDescent="0.25"/>
    <row r="206" s="1" customFormat="1" x14ac:dyDescent="0.25"/>
    <row r="207" s="1" customFormat="1" x14ac:dyDescent="0.25"/>
    <row r="208" s="1" customFormat="1" x14ac:dyDescent="0.25"/>
    <row r="209" s="1" customFormat="1" x14ac:dyDescent="0.25"/>
    <row r="210" s="1" customFormat="1" x14ac:dyDescent="0.25"/>
    <row r="211" s="1" customFormat="1" x14ac:dyDescent="0.25"/>
    <row r="212" s="1" customFormat="1" x14ac:dyDescent="0.25"/>
    <row r="213" s="1" customFormat="1" x14ac:dyDescent="0.25"/>
    <row r="214" s="1" customFormat="1" x14ac:dyDescent="0.25"/>
    <row r="215" s="1" customFormat="1" x14ac:dyDescent="0.25"/>
    <row r="216" s="1" customFormat="1" x14ac:dyDescent="0.25"/>
    <row r="217" s="1" customFormat="1" x14ac:dyDescent="0.25"/>
    <row r="218" s="1" customFormat="1" x14ac:dyDescent="0.25"/>
    <row r="219" s="1" customFormat="1" x14ac:dyDescent="0.25"/>
    <row r="220" s="1" customFormat="1" x14ac:dyDescent="0.25"/>
    <row r="221" s="1" customFormat="1" x14ac:dyDescent="0.25"/>
    <row r="222" s="1" customFormat="1" x14ac:dyDescent="0.25"/>
    <row r="223" s="1" customFormat="1" x14ac:dyDescent="0.25"/>
    <row r="224" s="1" customFormat="1" x14ac:dyDescent="0.25"/>
    <row r="225" s="1" customFormat="1" x14ac:dyDescent="0.25"/>
    <row r="226" s="1" customFormat="1" x14ac:dyDescent="0.25"/>
    <row r="227" s="1" customFormat="1" x14ac:dyDescent="0.25"/>
    <row r="228" s="1" customFormat="1" x14ac:dyDescent="0.25"/>
    <row r="229" s="1" customFormat="1" x14ac:dyDescent="0.25"/>
    <row r="230" s="1" customFormat="1" x14ac:dyDescent="0.25"/>
    <row r="231" s="1" customFormat="1" x14ac:dyDescent="0.25"/>
    <row r="232" s="1" customFormat="1" x14ac:dyDescent="0.25"/>
    <row r="233" s="1" customFormat="1" x14ac:dyDescent="0.25"/>
    <row r="234" s="1" customFormat="1" x14ac:dyDescent="0.25"/>
    <row r="235" s="1" customFormat="1" x14ac:dyDescent="0.25"/>
    <row r="236" s="1" customFormat="1" x14ac:dyDescent="0.25"/>
    <row r="237" s="1" customFormat="1" x14ac:dyDescent="0.25"/>
    <row r="238" s="1" customFormat="1" x14ac:dyDescent="0.25"/>
    <row r="239" s="1" customFormat="1" x14ac:dyDescent="0.25"/>
    <row r="240" s="1" customFormat="1" x14ac:dyDescent="0.25"/>
    <row r="241" s="1" customFormat="1" x14ac:dyDescent="0.25"/>
    <row r="242" s="1" customFormat="1" x14ac:dyDescent="0.25"/>
    <row r="243" s="1" customFormat="1" x14ac:dyDescent="0.25"/>
    <row r="244" s="1" customFormat="1" x14ac:dyDescent="0.25"/>
    <row r="245" s="1" customFormat="1" x14ac:dyDescent="0.25"/>
    <row r="246" s="1" customFormat="1" x14ac:dyDescent="0.25"/>
    <row r="247" s="1" customFormat="1" x14ac:dyDescent="0.25"/>
    <row r="248" s="1" customFormat="1" x14ac:dyDescent="0.25"/>
    <row r="249" s="1" customFormat="1" x14ac:dyDescent="0.25"/>
    <row r="250" s="1" customFormat="1" x14ac:dyDescent="0.25"/>
    <row r="251" s="1" customFormat="1" x14ac:dyDescent="0.25"/>
    <row r="252" s="1" customFormat="1" x14ac:dyDescent="0.25"/>
    <row r="253" s="1" customFormat="1" x14ac:dyDescent="0.25"/>
    <row r="254" s="1" customFormat="1" x14ac:dyDescent="0.25"/>
    <row r="255" s="1" customFormat="1" x14ac:dyDescent="0.25"/>
    <row r="256" s="1" customFormat="1" x14ac:dyDescent="0.25"/>
    <row r="257" s="1" customFormat="1" x14ac:dyDescent="0.25"/>
    <row r="258" s="1" customFormat="1" x14ac:dyDescent="0.25"/>
    <row r="259" s="1" customFormat="1" x14ac:dyDescent="0.25"/>
    <row r="260" s="1" customFormat="1" x14ac:dyDescent="0.25"/>
    <row r="261" s="1" customFormat="1" x14ac:dyDescent="0.25"/>
    <row r="262" s="1" customFormat="1" x14ac:dyDescent="0.25"/>
    <row r="263" s="1" customFormat="1" x14ac:dyDescent="0.25"/>
    <row r="264" s="1" customFormat="1" x14ac:dyDescent="0.25"/>
    <row r="265" s="1" customFormat="1" x14ac:dyDescent="0.25"/>
    <row r="266" s="1" customFormat="1" x14ac:dyDescent="0.25"/>
    <row r="267" s="1" customFormat="1" x14ac:dyDescent="0.25"/>
    <row r="268" s="1" customFormat="1" x14ac:dyDescent="0.25"/>
    <row r="269" s="1" customFormat="1" x14ac:dyDescent="0.25"/>
    <row r="270" s="1" customFormat="1" x14ac:dyDescent="0.25"/>
    <row r="271" s="1" customFormat="1" x14ac:dyDescent="0.25"/>
    <row r="272" s="1" customFormat="1" x14ac:dyDescent="0.25"/>
    <row r="273" s="1" customFormat="1" x14ac:dyDescent="0.25"/>
    <row r="274" s="1" customFormat="1" x14ac:dyDescent="0.25"/>
    <row r="275" s="1" customFormat="1" x14ac:dyDescent="0.25"/>
    <row r="276" s="1" customFormat="1" x14ac:dyDescent="0.25"/>
    <row r="277" s="1" customFormat="1" x14ac:dyDescent="0.25"/>
  </sheetData>
  <sheetProtection selectLockedCells="1"/>
  <protectedRanges>
    <protectedRange sqref="L16 L54:L55" name="Lhůta provedení"/>
    <protectedRange sqref="C47:F52 C20:F42" name="Materiál"/>
    <protectedRange sqref="C16:D16" name="StavbaTermín"/>
    <protectedRange sqref="G4" name="Podklad"/>
    <protectedRange sqref="D6:D10" name="Objednatel"/>
    <protectedRange sqref="C78" name="Telefon"/>
    <protectedRange sqref="C57:C58" name="StavebniPripravenost"/>
  </protectedRanges>
  <mergeCells count="36">
    <mergeCell ref="E53:F53"/>
    <mergeCell ref="B10:C10"/>
    <mergeCell ref="D10:G10"/>
    <mergeCell ref="L10:O10"/>
    <mergeCell ref="Q10:T10"/>
    <mergeCell ref="L11:O11"/>
    <mergeCell ref="Q11:T11"/>
    <mergeCell ref="Q12:T12"/>
    <mergeCell ref="Q13:T13"/>
    <mergeCell ref="Q14:T14"/>
    <mergeCell ref="O26:T33"/>
    <mergeCell ref="E43:F43"/>
    <mergeCell ref="B8:C8"/>
    <mergeCell ref="D8:G8"/>
    <mergeCell ref="L8:O8"/>
    <mergeCell ref="Q8:T8"/>
    <mergeCell ref="B9:C9"/>
    <mergeCell ref="D9:G9"/>
    <mergeCell ref="L9:O9"/>
    <mergeCell ref="Q9:T9"/>
    <mergeCell ref="B6:C6"/>
    <mergeCell ref="D6:G6"/>
    <mergeCell ref="L6:O6"/>
    <mergeCell ref="Q6:T6"/>
    <mergeCell ref="B7:C7"/>
    <mergeCell ref="D7:G7"/>
    <mergeCell ref="L7:O7"/>
    <mergeCell ref="Q7:T7"/>
    <mergeCell ref="B5:C5"/>
    <mergeCell ref="D5:G5"/>
    <mergeCell ref="L5:O5"/>
    <mergeCell ref="B2:D4"/>
    <mergeCell ref="E2:F2"/>
    <mergeCell ref="E3:F3"/>
    <mergeCell ref="E4:G4"/>
    <mergeCell ref="L4:O4"/>
  </mergeCells>
  <hyperlinks>
    <hyperlink ref="C79" r:id="rId1" display="michal@kopl.pro" xr:uid="{335671C9-901B-431B-B030-239DE32B2227}"/>
  </hyperlinks>
  <printOptions horizontalCentered="1" verticalCentered="1"/>
  <pageMargins left="0.23622047244094491" right="0.23622047244094491" top="0.19685039370078741" bottom="0.19685039370078741" header="0.31496062992125984" footer="0.31496062992125984"/>
  <pageSetup paperSize="9" scale="11" orientation="portrait" r:id="rId2"/>
  <headerFooter alignWithMargins="0"/>
  <drawing r:id="rId3"/>
  <tableParts count="4">
    <tablePart r:id="rId4"/>
    <tablePart r:id="rId5"/>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46C5D-ADAB-42AE-98A3-057215BA7B09}">
  <sheetPr codeName="Sheet3">
    <pageSetUpPr fitToPage="1"/>
  </sheetPr>
  <dimension ref="A1:CC277"/>
  <sheetViews>
    <sheetView zoomScaleNormal="100" zoomScalePageLayoutView="25" workbookViewId="0">
      <selection activeCell="D37" sqref="D37"/>
    </sheetView>
  </sheetViews>
  <sheetFormatPr defaultColWidth="9.140625" defaultRowHeight="14.25" x14ac:dyDescent="0.25"/>
  <cols>
    <col min="1" max="2" width="3.28515625" style="1" customWidth="1"/>
    <col min="3" max="3" width="66" style="1" customWidth="1"/>
    <col min="4" max="4" width="15" style="1" bestFit="1" customWidth="1"/>
    <col min="5" max="5" width="22.28515625" style="1" bestFit="1" customWidth="1"/>
    <col min="6" max="6" width="21.140625" style="1" bestFit="1" customWidth="1"/>
    <col min="7" max="7" width="20" style="1" bestFit="1" customWidth="1"/>
    <col min="8" max="9" width="3.28515625" style="1" customWidth="1"/>
    <col min="10" max="10" width="9.140625" style="1"/>
    <col min="11" max="11" width="10.28515625" style="1" bestFit="1" customWidth="1"/>
    <col min="12" max="16" width="9.140625" style="1" customWidth="1"/>
    <col min="17" max="19" width="9.140625" style="1"/>
    <col min="20" max="20" width="9.140625" style="1" customWidth="1"/>
    <col min="21" max="25" width="9.140625" style="1"/>
    <col min="26" max="26" width="9.140625" style="1" customWidth="1"/>
    <col min="27" max="16384" width="9.140625" style="1"/>
  </cols>
  <sheetData>
    <row r="1" spans="1:32" ht="21" customHeight="1" thickBot="1" x14ac:dyDescent="0.3">
      <c r="A1" s="21"/>
      <c r="B1" s="21"/>
      <c r="C1" s="21"/>
      <c r="D1" s="21"/>
      <c r="E1" s="21"/>
      <c r="F1" s="21"/>
      <c r="G1" s="21"/>
      <c r="H1" s="21"/>
      <c r="I1" s="21"/>
      <c r="J1" s="4"/>
      <c r="K1" s="4"/>
      <c r="L1" s="4"/>
      <c r="M1" s="4"/>
      <c r="N1" s="4"/>
      <c r="O1" s="4"/>
      <c r="P1" s="4"/>
      <c r="Q1" s="4"/>
      <c r="R1" s="4"/>
      <c r="S1" s="4"/>
      <c r="T1" s="4"/>
      <c r="U1" s="4"/>
      <c r="V1" s="4"/>
      <c r="W1" s="4"/>
      <c r="X1" s="4"/>
      <c r="Y1" s="4"/>
      <c r="Z1" s="4"/>
      <c r="AA1" s="4"/>
      <c r="AB1" s="4"/>
      <c r="AC1" s="4"/>
      <c r="AD1" s="4"/>
      <c r="AE1" s="4"/>
      <c r="AF1" s="4"/>
    </row>
    <row r="2" spans="1:32" ht="21" customHeight="1" thickTop="1" x14ac:dyDescent="0.25">
      <c r="A2" s="21"/>
      <c r="B2" s="168" t="s">
        <v>86</v>
      </c>
      <c r="C2" s="168"/>
      <c r="D2" s="169"/>
      <c r="E2" s="176" t="s">
        <v>87</v>
      </c>
      <c r="F2" s="177"/>
      <c r="G2" s="143">
        <f>MIN(G14:G79)</f>
        <v>44772</v>
      </c>
      <c r="H2" s="23"/>
      <c r="I2" s="21"/>
      <c r="J2" s="4"/>
      <c r="K2" s="4"/>
      <c r="L2" s="4"/>
      <c r="M2" s="4"/>
      <c r="N2" s="4"/>
      <c r="O2" s="4"/>
      <c r="P2" s="4"/>
      <c r="Q2" s="4"/>
      <c r="R2" s="4"/>
      <c r="S2" s="4"/>
      <c r="T2" s="4"/>
      <c r="U2" s="4"/>
      <c r="V2" s="4"/>
      <c r="W2" s="4"/>
      <c r="X2" s="4"/>
      <c r="Y2" s="4"/>
      <c r="Z2" s="4"/>
      <c r="AA2" s="4"/>
      <c r="AB2" s="4"/>
      <c r="AC2" s="4"/>
      <c r="AD2" s="4"/>
      <c r="AE2" s="4"/>
      <c r="AF2" s="4"/>
    </row>
    <row r="3" spans="1:32" ht="21" customHeight="1" x14ac:dyDescent="0.25">
      <c r="A3" s="21"/>
      <c r="B3" s="168"/>
      <c r="C3" s="168"/>
      <c r="D3" s="169"/>
      <c r="E3" s="174" t="s">
        <v>88</v>
      </c>
      <c r="F3" s="175"/>
      <c r="G3" s="144">
        <f>MAX(G14:G79)</f>
        <v>45075</v>
      </c>
      <c r="H3" s="26"/>
      <c r="I3" s="21"/>
      <c r="J3" s="4"/>
      <c r="K3" s="4"/>
      <c r="L3" s="4"/>
      <c r="M3" s="4"/>
      <c r="N3" s="4"/>
      <c r="O3" s="4"/>
      <c r="P3" s="4"/>
      <c r="Q3" s="4"/>
      <c r="R3" s="4"/>
      <c r="S3" s="4"/>
      <c r="T3" s="4"/>
      <c r="U3" s="4"/>
      <c r="V3" s="4"/>
      <c r="W3" s="4"/>
      <c r="X3" s="4"/>
      <c r="Y3" s="4"/>
      <c r="Z3" s="4"/>
      <c r="AA3" s="4"/>
      <c r="AB3" s="4"/>
      <c r="AC3" s="4"/>
      <c r="AD3" s="4"/>
      <c r="AE3" s="4"/>
      <c r="AF3" s="4"/>
    </row>
    <row r="4" spans="1:32" ht="15.75" customHeight="1" thickBot="1" x14ac:dyDescent="0.3">
      <c r="A4" s="21"/>
      <c r="B4" s="168"/>
      <c r="C4" s="168"/>
      <c r="D4" s="169"/>
      <c r="E4" s="190"/>
      <c r="F4" s="191"/>
      <c r="G4" s="191"/>
      <c r="H4" s="26"/>
      <c r="I4" s="21"/>
      <c r="J4" s="4"/>
      <c r="K4" s="4"/>
      <c r="L4" s="4"/>
      <c r="M4" s="4"/>
      <c r="N4" s="4"/>
      <c r="O4" s="4"/>
      <c r="P4" s="4"/>
      <c r="Q4" s="4"/>
      <c r="R4" s="4"/>
      <c r="S4" s="4"/>
      <c r="T4" s="4"/>
      <c r="U4" s="4"/>
      <c r="V4" s="4"/>
      <c r="W4" s="4"/>
      <c r="X4" s="4"/>
      <c r="Y4" s="4"/>
      <c r="Z4" s="4"/>
      <c r="AA4" s="4"/>
      <c r="AB4" s="4"/>
      <c r="AC4" s="4"/>
      <c r="AD4" s="4"/>
      <c r="AE4" s="4"/>
      <c r="AF4" s="4"/>
    </row>
    <row r="5" spans="1:32" ht="15" customHeight="1" thickTop="1" x14ac:dyDescent="0.25">
      <c r="A5" s="21"/>
      <c r="B5" s="156" t="str">
        <f>"      The supplier:"</f>
        <v xml:space="preserve">      The supplier:</v>
      </c>
      <c r="C5" s="157"/>
      <c r="D5" s="75"/>
      <c r="E5" s="75"/>
      <c r="F5" s="75"/>
      <c r="G5" s="75"/>
      <c r="H5" s="23"/>
      <c r="I5" s="21"/>
      <c r="J5" s="4"/>
      <c r="K5" s="4"/>
      <c r="L5" s="4"/>
      <c r="M5" s="4"/>
      <c r="N5" s="4"/>
      <c r="O5" s="4"/>
      <c r="P5" s="4"/>
      <c r="Q5" s="4"/>
      <c r="R5" s="4"/>
      <c r="S5" s="4"/>
      <c r="T5" s="4"/>
      <c r="U5" s="4"/>
      <c r="V5" s="4"/>
      <c r="W5" s="4"/>
      <c r="X5" s="4"/>
      <c r="Y5" s="4"/>
      <c r="Z5" s="4"/>
      <c r="AA5" s="4"/>
      <c r="AB5" s="4"/>
      <c r="AC5" s="4"/>
      <c r="AD5" s="4"/>
      <c r="AE5" s="4"/>
      <c r="AF5" s="4"/>
    </row>
    <row r="6" spans="1:32" ht="15" customHeight="1" x14ac:dyDescent="0.25">
      <c r="A6" s="21"/>
      <c r="B6" s="160" t="str">
        <f>"      "&amp;Offer!Q7</f>
        <v xml:space="preserve">      John Doe</v>
      </c>
      <c r="C6" s="192"/>
      <c r="D6" s="29"/>
      <c r="E6" s="29"/>
      <c r="F6" s="111" t="s">
        <v>102</v>
      </c>
      <c r="G6" s="111" t="s">
        <v>103</v>
      </c>
      <c r="H6" s="26"/>
      <c r="I6" s="21"/>
      <c r="J6" s="4"/>
      <c r="K6" s="4"/>
      <c r="L6" s="4"/>
      <c r="M6" s="4"/>
      <c r="N6" s="4"/>
      <c r="O6" s="4"/>
      <c r="P6" s="4"/>
      <c r="Q6" s="4"/>
      <c r="R6" s="4"/>
      <c r="S6" s="4"/>
      <c r="T6" s="4"/>
      <c r="U6" s="4"/>
      <c r="V6" s="4"/>
      <c r="W6" s="4"/>
      <c r="X6" s="4"/>
      <c r="Y6" s="4"/>
      <c r="Z6" s="4"/>
      <c r="AA6" s="4"/>
      <c r="AB6" s="4"/>
      <c r="AC6" s="4"/>
      <c r="AD6" s="4"/>
      <c r="AE6" s="4"/>
      <c r="AF6" s="4"/>
    </row>
    <row r="7" spans="1:32" ht="15" customHeight="1" x14ac:dyDescent="0.25">
      <c r="A7" s="21"/>
      <c r="B7" s="160" t="str">
        <f>"      "&amp;Offer!Q8&amp;", "&amp;Offer!Q9</f>
        <v xml:space="preserve">      Doe Road 1234/16, San Francisco - Inner city, CA, 902 10</v>
      </c>
      <c r="C7" s="192"/>
      <c r="D7" s="29"/>
      <c r="E7" s="29"/>
      <c r="F7" s="76">
        <f>SUBTOTAL(109,E14:E79)</f>
        <v>12673</v>
      </c>
      <c r="G7" s="76">
        <f>SUM(E14:E79)</f>
        <v>12673</v>
      </c>
      <c r="H7" s="26"/>
      <c r="I7" s="21"/>
      <c r="J7" s="4"/>
      <c r="K7" s="4"/>
      <c r="L7" s="4"/>
      <c r="M7" s="4"/>
      <c r="N7" s="4"/>
      <c r="O7" s="4"/>
      <c r="P7" s="4"/>
      <c r="Q7" s="4"/>
      <c r="R7" s="4"/>
      <c r="S7" s="4"/>
      <c r="T7" s="4"/>
      <c r="U7" s="4"/>
      <c r="V7" s="4"/>
      <c r="W7" s="4"/>
      <c r="X7" s="4"/>
      <c r="Y7" s="4"/>
      <c r="Z7" s="4"/>
      <c r="AA7" s="4"/>
      <c r="AB7" s="4"/>
      <c r="AC7" s="4"/>
      <c r="AD7" s="4"/>
      <c r="AE7" s="4"/>
      <c r="AF7" s="4"/>
    </row>
    <row r="8" spans="1:32" ht="15" customHeight="1" x14ac:dyDescent="0.25">
      <c r="A8" s="21"/>
      <c r="B8" s="160" t="str">
        <f>"      "&amp;Offer!Q10&amp;"  /  "&amp;Offer!Q11</f>
        <v xml:space="preserve">      +1.999.999.999.999  /  john.doe@does-incorporated.com</v>
      </c>
      <c r="C8" s="192"/>
      <c r="D8" s="29"/>
      <c r="E8" s="29"/>
      <c r="F8" s="29"/>
      <c r="G8" s="29"/>
      <c r="H8" s="26"/>
      <c r="I8" s="21"/>
      <c r="J8" s="4"/>
      <c r="K8" s="4"/>
      <c r="L8" s="4"/>
      <c r="M8" s="4"/>
      <c r="N8" s="4"/>
      <c r="O8" s="4"/>
      <c r="P8" s="4"/>
      <c r="Q8" s="4"/>
      <c r="R8" s="4"/>
      <c r="S8" s="4"/>
      <c r="T8" s="4"/>
      <c r="U8" s="4"/>
      <c r="V8" s="4"/>
      <c r="W8" s="4"/>
      <c r="X8" s="4"/>
      <c r="Y8" s="4"/>
      <c r="Z8" s="4"/>
      <c r="AA8" s="4"/>
      <c r="AB8" s="4"/>
      <c r="AC8" s="4"/>
      <c r="AD8" s="4"/>
      <c r="AE8" s="4"/>
      <c r="AF8" s="4"/>
    </row>
    <row r="9" spans="1:32" ht="15" customHeight="1" x14ac:dyDescent="0.25">
      <c r="A9" s="21"/>
      <c r="B9" s="160" t="str">
        <f>"      "&amp;"b.a.: "&amp;Offer!Q12&amp;"    IBAN: "&amp;Offer!Q13</f>
        <v xml:space="preserve">      b.a.: 670100-2200921129/6210    IBAN: CZ2062106701002200921129</v>
      </c>
      <c r="C9" s="192"/>
      <c r="D9" s="29"/>
      <c r="E9" s="29"/>
      <c r="F9" s="29"/>
      <c r="G9" s="29"/>
      <c r="H9" s="26"/>
      <c r="I9" s="21"/>
      <c r="J9" s="4"/>
      <c r="K9" s="4"/>
      <c r="L9" s="4"/>
      <c r="M9" s="4"/>
      <c r="N9" s="4"/>
      <c r="O9" s="4"/>
      <c r="P9" s="108"/>
      <c r="Q9" s="4"/>
      <c r="R9" s="4"/>
      <c r="S9" s="4"/>
      <c r="T9" s="4"/>
      <c r="U9" s="4"/>
      <c r="V9" s="4"/>
      <c r="W9" s="4"/>
      <c r="X9" s="4"/>
      <c r="Y9" s="4"/>
      <c r="Z9" s="4"/>
      <c r="AA9" s="4"/>
      <c r="AB9" s="4"/>
      <c r="AC9" s="4"/>
      <c r="AD9" s="4"/>
      <c r="AE9" s="4"/>
      <c r="AF9" s="4"/>
    </row>
    <row r="10" spans="1:32" ht="15" customHeight="1" x14ac:dyDescent="0.25">
      <c r="A10" s="21"/>
      <c r="B10" s="160" t="str">
        <f>"      "&amp;Offer!Q14</f>
        <v xml:space="preserve">      https://www.johndoe.com</v>
      </c>
      <c r="C10" s="192"/>
      <c r="D10" s="30"/>
      <c r="E10" s="30"/>
      <c r="F10" s="30"/>
      <c r="G10" s="30"/>
      <c r="H10" s="26"/>
      <c r="I10" s="21"/>
      <c r="J10" s="4"/>
      <c r="K10" s="4"/>
      <c r="L10" s="4"/>
      <c r="M10" s="4"/>
      <c r="N10" s="4"/>
      <c r="O10" s="4"/>
      <c r="P10" s="4"/>
      <c r="Q10" s="4"/>
      <c r="R10" s="4"/>
      <c r="S10" s="4"/>
      <c r="T10" s="4"/>
      <c r="U10" s="4"/>
      <c r="V10" s="4"/>
      <c r="W10" s="4"/>
      <c r="X10" s="4"/>
      <c r="Y10" s="4"/>
      <c r="Z10" s="4"/>
      <c r="AA10" s="4"/>
      <c r="AB10" s="4"/>
      <c r="AC10" s="4"/>
      <c r="AD10" s="4"/>
      <c r="AE10" s="4"/>
      <c r="AF10" s="4"/>
    </row>
    <row r="11" spans="1:32" ht="15" customHeight="1" thickBot="1" x14ac:dyDescent="0.3">
      <c r="A11" s="21"/>
      <c r="B11" s="31"/>
      <c r="C11" s="81"/>
      <c r="D11" s="62"/>
      <c r="E11" s="62"/>
      <c r="F11" s="64"/>
      <c r="G11" s="64"/>
      <c r="H11" s="27"/>
      <c r="I11" s="21"/>
      <c r="J11" s="4"/>
      <c r="K11" s="4"/>
      <c r="L11" s="4"/>
      <c r="M11" s="4"/>
      <c r="N11" s="4"/>
      <c r="O11" s="4"/>
      <c r="P11" s="4"/>
      <c r="Q11" s="4"/>
      <c r="R11" s="4"/>
      <c r="S11" s="4"/>
      <c r="T11" s="4"/>
      <c r="U11" s="4"/>
      <c r="V11" s="4"/>
      <c r="W11" s="4"/>
      <c r="X11" s="4"/>
      <c r="Y11" s="4"/>
      <c r="Z11" s="4"/>
      <c r="AA11" s="4"/>
      <c r="AB11" s="4"/>
      <c r="AC11" s="4"/>
      <c r="AD11" s="4"/>
      <c r="AE11" s="4"/>
      <c r="AF11" s="4"/>
    </row>
    <row r="12" spans="1:32" ht="15" customHeight="1" thickTop="1" x14ac:dyDescent="0.25">
      <c r="A12" s="21"/>
      <c r="B12" s="97"/>
      <c r="C12" s="98"/>
      <c r="D12" s="99"/>
      <c r="E12" s="99"/>
      <c r="F12" s="100"/>
      <c r="G12" s="100"/>
      <c r="H12" s="101"/>
      <c r="I12" s="21"/>
      <c r="J12" s="4"/>
      <c r="K12" s="4"/>
      <c r="L12" s="4"/>
      <c r="M12" s="4"/>
      <c r="N12" s="4"/>
      <c r="O12" s="4"/>
      <c r="P12" s="4"/>
      <c r="Q12" s="4"/>
      <c r="R12" s="4"/>
      <c r="S12" s="4"/>
      <c r="T12" s="4"/>
      <c r="U12" s="4"/>
      <c r="V12" s="4"/>
      <c r="W12" s="4"/>
      <c r="X12" s="4"/>
      <c r="Y12" s="4"/>
      <c r="Z12" s="4"/>
      <c r="AA12" s="4"/>
      <c r="AB12" s="4"/>
      <c r="AC12" s="4"/>
      <c r="AD12" s="4"/>
      <c r="AE12" s="4"/>
      <c r="AF12" s="4"/>
    </row>
    <row r="13" spans="1:32" ht="15" customHeight="1" x14ac:dyDescent="0.25">
      <c r="A13" s="21"/>
      <c r="B13" s="97"/>
      <c r="C13" s="123" t="s">
        <v>89</v>
      </c>
      <c r="D13" s="124" t="s">
        <v>96</v>
      </c>
      <c r="E13" s="124" t="s">
        <v>97</v>
      </c>
      <c r="F13" s="124" t="s">
        <v>98</v>
      </c>
      <c r="G13" s="124" t="s">
        <v>99</v>
      </c>
      <c r="H13" s="101"/>
      <c r="I13" s="21"/>
      <c r="J13" s="4"/>
      <c r="K13" s="112"/>
      <c r="L13" s="4"/>
      <c r="M13" s="4"/>
      <c r="N13" s="4"/>
      <c r="O13" s="4"/>
      <c r="P13" s="4"/>
      <c r="Q13" s="4"/>
      <c r="R13" s="4"/>
      <c r="S13" s="4"/>
      <c r="T13" s="4"/>
      <c r="U13" s="4"/>
      <c r="V13" s="4"/>
      <c r="W13" s="4"/>
      <c r="X13" s="4"/>
      <c r="Y13" s="4"/>
      <c r="Z13" s="4"/>
      <c r="AA13" s="4"/>
      <c r="AB13" s="4"/>
      <c r="AC13" s="4"/>
      <c r="AD13" s="4"/>
      <c r="AE13" s="4"/>
      <c r="AF13" s="4"/>
    </row>
    <row r="14" spans="1:32" ht="15" customHeight="1" x14ac:dyDescent="0.25">
      <c r="A14" s="21"/>
      <c r="B14" s="97"/>
      <c r="C14" s="125" t="s">
        <v>46</v>
      </c>
      <c r="D14" s="126" t="str">
        <f>TEXT(12023,"#0000000")</f>
        <v>0012023</v>
      </c>
      <c r="E14" s="127">
        <v>432</v>
      </c>
      <c r="F14" s="127">
        <v>356.68096135721021</v>
      </c>
      <c r="G14" s="128">
        <v>45073</v>
      </c>
      <c r="H14" s="101"/>
      <c r="I14" s="21"/>
      <c r="J14" s="4"/>
      <c r="K14" s="4"/>
      <c r="L14" s="4"/>
      <c r="M14" s="4"/>
      <c r="N14" s="4"/>
      <c r="O14" s="4"/>
      <c r="P14" s="4"/>
      <c r="Q14" s="4"/>
      <c r="R14" s="4"/>
      <c r="S14" s="4"/>
      <c r="T14" s="4"/>
      <c r="U14" s="4"/>
      <c r="V14" s="4"/>
      <c r="W14" s="4"/>
      <c r="X14" s="4"/>
      <c r="Y14" s="4"/>
      <c r="Z14" s="4"/>
      <c r="AA14" s="4"/>
      <c r="AB14" s="4"/>
      <c r="AC14" s="4"/>
      <c r="AD14" s="4"/>
      <c r="AE14" s="4"/>
      <c r="AF14" s="4"/>
    </row>
    <row r="15" spans="1:32" ht="15" customHeight="1" x14ac:dyDescent="0.25">
      <c r="A15" s="21"/>
      <c r="B15" s="97"/>
      <c r="C15" s="129" t="s">
        <v>46</v>
      </c>
      <c r="D15" s="130" t="str">
        <f>TEXT(22023,"#0000000")</f>
        <v>0022023</v>
      </c>
      <c r="E15" s="131">
        <v>432</v>
      </c>
      <c r="F15" s="131">
        <v>356.68096135721021</v>
      </c>
      <c r="G15" s="132">
        <v>45073</v>
      </c>
      <c r="H15" s="101"/>
      <c r="I15" s="21"/>
      <c r="J15" s="4"/>
      <c r="K15" s="4"/>
      <c r="L15" s="4"/>
      <c r="M15" s="4"/>
      <c r="N15" s="4"/>
      <c r="O15" s="4"/>
      <c r="P15" s="4"/>
      <c r="Q15" s="4"/>
      <c r="R15" s="4"/>
      <c r="S15" s="4"/>
      <c r="T15" s="4"/>
      <c r="U15" s="4"/>
      <c r="V15" s="4"/>
      <c r="W15" s="4"/>
      <c r="X15" s="4"/>
      <c r="Y15" s="4"/>
      <c r="Z15" s="4"/>
      <c r="AA15" s="4"/>
      <c r="AB15" s="4"/>
      <c r="AC15" s="4"/>
      <c r="AD15" s="4"/>
      <c r="AE15" s="4"/>
      <c r="AF15" s="4"/>
    </row>
    <row r="16" spans="1:32" ht="15" customHeight="1" x14ac:dyDescent="0.25">
      <c r="A16" s="21"/>
      <c r="B16" s="97"/>
      <c r="C16" s="129" t="s">
        <v>46</v>
      </c>
      <c r="D16" s="133" t="str">
        <f>TEXT(32023,"#0000000")</f>
        <v>0032023</v>
      </c>
      <c r="E16" s="131">
        <v>432</v>
      </c>
      <c r="F16" s="131">
        <v>356.68096135721021</v>
      </c>
      <c r="G16" s="132">
        <v>45073</v>
      </c>
      <c r="H16" s="101"/>
      <c r="I16" s="21"/>
      <c r="J16" s="4"/>
      <c r="K16" s="4"/>
      <c r="L16" s="4"/>
      <c r="M16" s="4"/>
      <c r="N16" s="4"/>
      <c r="O16" s="4"/>
      <c r="P16" s="4"/>
      <c r="Q16" s="4"/>
      <c r="R16" s="4"/>
      <c r="S16" s="4"/>
      <c r="T16" s="4"/>
      <c r="U16" s="4"/>
      <c r="V16" s="4"/>
      <c r="W16" s="4"/>
      <c r="X16" s="4"/>
      <c r="Y16" s="4"/>
      <c r="Z16" s="4"/>
      <c r="AA16" s="4"/>
      <c r="AB16" s="4"/>
      <c r="AC16" s="4"/>
      <c r="AD16" s="4"/>
      <c r="AE16" s="4"/>
      <c r="AF16" s="4"/>
    </row>
    <row r="17" spans="1:32" ht="15" customHeight="1" x14ac:dyDescent="0.25">
      <c r="A17" s="21"/>
      <c r="B17" s="97"/>
      <c r="C17" s="129" t="s">
        <v>46</v>
      </c>
      <c r="D17" s="134" t="str">
        <f>TEXT(42023,"#0000000")</f>
        <v>0042023</v>
      </c>
      <c r="E17" s="131">
        <v>432</v>
      </c>
      <c r="F17" s="131">
        <v>356.68096135721021</v>
      </c>
      <c r="G17" s="132">
        <v>44772</v>
      </c>
      <c r="H17" s="101"/>
      <c r="I17" s="21"/>
      <c r="J17" s="4"/>
      <c r="K17" s="4"/>
      <c r="L17" s="4"/>
      <c r="M17" s="4"/>
      <c r="N17" s="4"/>
      <c r="O17" s="4"/>
      <c r="P17" s="4"/>
      <c r="Q17" s="4"/>
      <c r="R17" s="4"/>
      <c r="S17" s="4"/>
      <c r="T17" s="4"/>
      <c r="U17" s="4"/>
      <c r="V17" s="4"/>
      <c r="W17" s="4"/>
      <c r="X17" s="4"/>
      <c r="Y17" s="4"/>
      <c r="Z17" s="4"/>
      <c r="AA17" s="4"/>
      <c r="AB17" s="4"/>
      <c r="AC17" s="4"/>
      <c r="AD17" s="4"/>
      <c r="AE17" s="4"/>
      <c r="AF17" s="4"/>
    </row>
    <row r="18" spans="1:32" ht="15" customHeight="1" x14ac:dyDescent="0.25">
      <c r="A18" s="21"/>
      <c r="B18" s="97"/>
      <c r="C18" s="129" t="s">
        <v>46</v>
      </c>
      <c r="D18" s="130" t="str">
        <f>TEXT(52023,"#0000000")</f>
        <v>0052023</v>
      </c>
      <c r="E18" s="131">
        <v>432</v>
      </c>
      <c r="F18" s="131">
        <v>356.68096135721021</v>
      </c>
      <c r="G18" s="132">
        <v>45073</v>
      </c>
      <c r="H18" s="101"/>
      <c r="I18" s="21"/>
      <c r="J18" s="4"/>
      <c r="K18" s="4"/>
      <c r="L18" s="4"/>
      <c r="M18" s="4"/>
      <c r="N18" s="4"/>
      <c r="O18" s="4"/>
      <c r="P18" s="4"/>
      <c r="Q18" s="4"/>
      <c r="R18" s="4"/>
      <c r="S18" s="4"/>
      <c r="T18" s="4"/>
      <c r="U18" s="4"/>
      <c r="V18" s="4"/>
      <c r="W18" s="4"/>
      <c r="X18" s="4"/>
      <c r="Y18" s="4"/>
      <c r="Z18" s="4"/>
      <c r="AA18" s="4"/>
      <c r="AB18" s="4"/>
      <c r="AC18" s="4"/>
      <c r="AD18" s="4"/>
      <c r="AE18" s="4"/>
      <c r="AF18" s="4"/>
    </row>
    <row r="19" spans="1:32" ht="15" customHeight="1" x14ac:dyDescent="0.25">
      <c r="A19" s="21"/>
      <c r="B19" s="97"/>
      <c r="C19" s="129" t="s">
        <v>46</v>
      </c>
      <c r="D19" s="130" t="str">
        <f>TEXT(62023,"#0000000")</f>
        <v>0062023</v>
      </c>
      <c r="E19" s="131">
        <v>432</v>
      </c>
      <c r="F19" s="131">
        <v>356.68096135721021</v>
      </c>
      <c r="G19" s="132">
        <v>45059</v>
      </c>
      <c r="H19" s="102"/>
      <c r="I19" s="21"/>
      <c r="J19" s="4"/>
      <c r="K19" s="4"/>
      <c r="L19" s="4"/>
      <c r="M19" s="4"/>
      <c r="N19" s="4"/>
      <c r="O19" s="4"/>
      <c r="P19" s="4"/>
      <c r="Q19" s="4"/>
      <c r="R19" s="4"/>
      <c r="S19" s="4"/>
      <c r="T19" s="4"/>
      <c r="U19" s="4"/>
      <c r="V19" s="4"/>
      <c r="W19" s="4"/>
      <c r="X19" s="4"/>
      <c r="Y19" s="4"/>
      <c r="Z19" s="4"/>
      <c r="AA19" s="4"/>
      <c r="AB19" s="4"/>
      <c r="AC19" s="4"/>
      <c r="AD19" s="4"/>
      <c r="AE19" s="4"/>
      <c r="AF19" s="4"/>
    </row>
    <row r="20" spans="1:32" ht="15" customHeight="1" x14ac:dyDescent="0.25">
      <c r="A20" s="21"/>
      <c r="B20" s="97"/>
      <c r="C20" s="135" t="s">
        <v>46</v>
      </c>
      <c r="D20" s="130" t="str">
        <f>TEXT(72023,"#0000000")</f>
        <v>0072023</v>
      </c>
      <c r="E20" s="131">
        <v>432</v>
      </c>
      <c r="F20" s="131">
        <v>356.68096135721021</v>
      </c>
      <c r="G20" s="132">
        <v>45073</v>
      </c>
      <c r="H20" s="102"/>
      <c r="I20" s="21"/>
      <c r="J20" s="4"/>
      <c r="K20" s="4"/>
      <c r="L20" s="4"/>
      <c r="M20" s="4"/>
      <c r="N20" s="4"/>
      <c r="O20" s="4"/>
      <c r="P20" s="4"/>
      <c r="Q20" s="4"/>
      <c r="R20" s="4"/>
      <c r="S20" s="4"/>
      <c r="T20" s="4"/>
      <c r="U20" s="4"/>
      <c r="V20" s="4"/>
      <c r="W20" s="4"/>
      <c r="X20" s="4"/>
      <c r="Y20" s="4"/>
      <c r="Z20" s="4"/>
      <c r="AA20" s="4"/>
      <c r="AB20" s="4"/>
      <c r="AC20" s="4"/>
      <c r="AD20" s="4"/>
      <c r="AE20" s="4"/>
      <c r="AF20" s="4"/>
    </row>
    <row r="21" spans="1:32" ht="15" customHeight="1" x14ac:dyDescent="0.25">
      <c r="A21" s="21"/>
      <c r="B21" s="97"/>
      <c r="C21" s="135" t="s">
        <v>46</v>
      </c>
      <c r="D21" s="130" t="str">
        <f>TEXT(82023,"#0000000")</f>
        <v>0082023</v>
      </c>
      <c r="E21" s="131">
        <v>432</v>
      </c>
      <c r="F21" s="131">
        <v>356.68096135721021</v>
      </c>
      <c r="G21" s="132">
        <v>45073</v>
      </c>
      <c r="H21" s="102"/>
      <c r="I21" s="21"/>
      <c r="J21" s="4"/>
      <c r="K21" s="4"/>
      <c r="L21" s="4"/>
      <c r="M21" s="4"/>
      <c r="N21" s="4"/>
      <c r="O21" s="4"/>
      <c r="P21" s="4"/>
      <c r="Q21" s="4"/>
      <c r="R21" s="4"/>
      <c r="S21" s="4"/>
      <c r="T21" s="4"/>
      <c r="U21" s="4"/>
      <c r="V21" s="4"/>
      <c r="W21" s="4"/>
      <c r="X21" s="4"/>
      <c r="Y21" s="4"/>
      <c r="Z21" s="4"/>
      <c r="AA21" s="4"/>
      <c r="AB21" s="4"/>
      <c r="AC21" s="4"/>
      <c r="AD21" s="4"/>
      <c r="AE21" s="4"/>
      <c r="AF21" s="4"/>
    </row>
    <row r="22" spans="1:32" ht="15" customHeight="1" x14ac:dyDescent="0.25">
      <c r="A22" s="21"/>
      <c r="B22" s="97"/>
      <c r="C22" s="135" t="s">
        <v>46</v>
      </c>
      <c r="D22" s="130" t="str">
        <f>TEXT(92023,"#0000000")</f>
        <v>0092023</v>
      </c>
      <c r="E22" s="131">
        <v>432</v>
      </c>
      <c r="F22" s="131">
        <v>356.68096135721021</v>
      </c>
      <c r="G22" s="132">
        <v>45073</v>
      </c>
      <c r="H22" s="102"/>
      <c r="I22" s="21"/>
      <c r="J22" s="4"/>
      <c r="K22" s="4"/>
      <c r="L22" s="4"/>
      <c r="M22" s="4"/>
      <c r="N22" s="4"/>
      <c r="O22" s="4"/>
      <c r="P22" s="4"/>
      <c r="Q22" s="4"/>
      <c r="R22" s="4"/>
      <c r="S22" s="4"/>
      <c r="T22" s="4"/>
      <c r="U22" s="4"/>
      <c r="V22" s="4"/>
      <c r="W22" s="4"/>
      <c r="X22" s="4"/>
      <c r="Y22" s="4"/>
      <c r="Z22" s="4"/>
      <c r="AA22" s="4"/>
      <c r="AB22" s="4"/>
      <c r="AC22" s="4"/>
      <c r="AD22" s="4"/>
      <c r="AE22" s="4"/>
      <c r="AF22" s="4"/>
    </row>
    <row r="23" spans="1:32" ht="15" customHeight="1" x14ac:dyDescent="0.25">
      <c r="A23" s="21"/>
      <c r="B23" s="97"/>
      <c r="C23" s="135" t="s">
        <v>46</v>
      </c>
      <c r="D23" s="130" t="str">
        <f>TEXT(102023,"#0000000")</f>
        <v>0102023</v>
      </c>
      <c r="E23" s="131">
        <v>432</v>
      </c>
      <c r="F23" s="131">
        <v>356.68096135721021</v>
      </c>
      <c r="G23" s="132">
        <v>45073</v>
      </c>
      <c r="H23" s="102"/>
      <c r="I23" s="21"/>
      <c r="J23" s="4"/>
      <c r="K23" s="4"/>
      <c r="L23" s="4"/>
      <c r="M23" s="4"/>
      <c r="N23" s="4"/>
      <c r="O23" s="4"/>
      <c r="P23" s="4"/>
      <c r="Q23" s="4"/>
      <c r="R23" s="4"/>
      <c r="S23" s="4"/>
      <c r="T23" s="4"/>
      <c r="U23" s="4"/>
      <c r="V23" s="4"/>
      <c r="W23" s="4"/>
      <c r="X23" s="4"/>
      <c r="Y23" s="4"/>
      <c r="Z23" s="4"/>
      <c r="AA23" s="4"/>
      <c r="AB23" s="4"/>
      <c r="AC23" s="4"/>
      <c r="AD23" s="4"/>
      <c r="AE23" s="4"/>
      <c r="AF23" s="4"/>
    </row>
    <row r="24" spans="1:32" ht="15" customHeight="1" x14ac:dyDescent="0.25">
      <c r="A24" s="21"/>
      <c r="B24" s="97"/>
      <c r="C24" s="135" t="s">
        <v>46</v>
      </c>
      <c r="D24" s="130" t="str">
        <f>TEXT(112023,"#0000000")</f>
        <v>0112023</v>
      </c>
      <c r="E24" s="131">
        <v>432</v>
      </c>
      <c r="F24" s="131">
        <v>356.68096135721021</v>
      </c>
      <c r="G24" s="132">
        <v>45073</v>
      </c>
      <c r="H24" s="102"/>
      <c r="I24" s="21"/>
      <c r="J24" s="4"/>
      <c r="K24" s="4"/>
      <c r="L24" s="4"/>
      <c r="M24" s="4"/>
      <c r="N24" s="4"/>
      <c r="O24" s="4"/>
      <c r="P24" s="4"/>
      <c r="Q24" s="4"/>
      <c r="R24" s="4"/>
      <c r="S24" s="4"/>
      <c r="T24" s="4"/>
      <c r="U24" s="4"/>
      <c r="V24" s="4"/>
      <c r="W24" s="4"/>
      <c r="X24" s="4"/>
      <c r="Y24" s="4"/>
      <c r="Z24" s="4"/>
      <c r="AA24" s="4"/>
      <c r="AB24" s="4"/>
      <c r="AC24" s="4"/>
      <c r="AD24" s="4"/>
      <c r="AE24" s="4"/>
      <c r="AF24" s="4"/>
    </row>
    <row r="25" spans="1:32" ht="15" customHeight="1" x14ac:dyDescent="0.25">
      <c r="A25" s="21"/>
      <c r="B25" s="97"/>
      <c r="C25" s="135" t="s">
        <v>46</v>
      </c>
      <c r="D25" s="130" t="str">
        <f>TEXT(122023,"#0000000")</f>
        <v>0122023</v>
      </c>
      <c r="E25" s="131">
        <v>443</v>
      </c>
      <c r="F25" s="131">
        <v>365.58096135721024</v>
      </c>
      <c r="G25" s="132">
        <v>45073</v>
      </c>
      <c r="H25" s="102"/>
      <c r="I25" s="21"/>
      <c r="J25" s="4"/>
      <c r="K25" s="4"/>
      <c r="L25" s="4"/>
      <c r="M25" s="4"/>
      <c r="N25" s="4"/>
      <c r="O25" s="4"/>
      <c r="P25" s="4"/>
      <c r="Q25" s="4"/>
      <c r="R25" s="4"/>
      <c r="S25" s="4"/>
      <c r="T25" s="4"/>
      <c r="U25" s="4"/>
      <c r="V25" s="4"/>
      <c r="W25" s="4"/>
      <c r="X25" s="4"/>
      <c r="Y25" s="4"/>
      <c r="Z25" s="4"/>
      <c r="AA25" s="4"/>
      <c r="AB25" s="4"/>
      <c r="AC25" s="4"/>
      <c r="AD25" s="4"/>
      <c r="AE25" s="4"/>
      <c r="AF25" s="4"/>
    </row>
    <row r="26" spans="1:32" ht="15" customHeight="1" x14ac:dyDescent="0.25">
      <c r="A26" s="21"/>
      <c r="B26" s="97"/>
      <c r="C26" s="135" t="s">
        <v>46</v>
      </c>
      <c r="D26" s="130" t="str">
        <f>TEXT(132023,"#0000000")</f>
        <v>0132023</v>
      </c>
      <c r="E26" s="131">
        <v>443</v>
      </c>
      <c r="F26" s="131">
        <v>365.58096135721024</v>
      </c>
      <c r="G26" s="132">
        <v>45073</v>
      </c>
      <c r="H26" s="102"/>
      <c r="I26" s="21"/>
      <c r="J26" s="4"/>
      <c r="K26" s="4"/>
      <c r="L26" s="4"/>
      <c r="M26" s="4"/>
      <c r="N26" s="4"/>
      <c r="O26" s="4"/>
      <c r="P26" s="4"/>
      <c r="Q26" s="4"/>
      <c r="R26" s="4"/>
      <c r="S26" s="4"/>
      <c r="T26" s="4"/>
      <c r="U26" s="4"/>
      <c r="V26" s="4"/>
      <c r="W26" s="4"/>
      <c r="X26" s="4"/>
      <c r="Y26" s="4"/>
      <c r="Z26" s="4"/>
      <c r="AA26" s="4"/>
      <c r="AB26" s="4"/>
      <c r="AC26" s="4"/>
      <c r="AD26" s="4"/>
      <c r="AE26" s="4"/>
      <c r="AF26" s="4"/>
    </row>
    <row r="27" spans="1:32" ht="15" customHeight="1" x14ac:dyDescent="0.25">
      <c r="A27" s="21"/>
      <c r="B27" s="97"/>
      <c r="C27" s="135" t="s">
        <v>104</v>
      </c>
      <c r="D27" s="130" t="str">
        <f>TEXT(142023,"#0000000")</f>
        <v>0142023</v>
      </c>
      <c r="E27" s="131">
        <v>443</v>
      </c>
      <c r="F27" s="131">
        <v>365.58096135721024</v>
      </c>
      <c r="G27" s="132">
        <v>45073</v>
      </c>
      <c r="H27" s="102"/>
      <c r="I27" s="21"/>
      <c r="J27" s="4"/>
      <c r="K27" s="4"/>
      <c r="L27" s="4"/>
      <c r="M27" s="4"/>
      <c r="N27" s="4"/>
      <c r="O27" s="4"/>
      <c r="P27" s="4"/>
      <c r="Q27" s="4"/>
      <c r="R27" s="4"/>
      <c r="S27" s="4"/>
      <c r="T27" s="4"/>
      <c r="U27" s="4"/>
      <c r="V27" s="4"/>
      <c r="W27" s="4"/>
      <c r="X27" s="4"/>
      <c r="Y27" s="4"/>
      <c r="Z27" s="4"/>
      <c r="AA27" s="4"/>
      <c r="AB27" s="4"/>
      <c r="AC27" s="4"/>
      <c r="AD27" s="4"/>
      <c r="AE27" s="4"/>
      <c r="AF27" s="4"/>
    </row>
    <row r="28" spans="1:32" ht="15" customHeight="1" x14ac:dyDescent="0.25">
      <c r="A28" s="21"/>
      <c r="B28" s="97"/>
      <c r="C28" s="129" t="s">
        <v>46</v>
      </c>
      <c r="D28" s="130" t="str">
        <f>TEXT(152023,"#0000000")</f>
        <v>0152023</v>
      </c>
      <c r="E28" s="131">
        <v>443</v>
      </c>
      <c r="F28" s="131">
        <v>365.58096135721024</v>
      </c>
      <c r="G28" s="132">
        <v>45073</v>
      </c>
      <c r="H28" s="102"/>
      <c r="I28" s="21"/>
      <c r="J28" s="4"/>
      <c r="K28" s="4"/>
      <c r="L28" s="4"/>
      <c r="M28" s="4"/>
      <c r="N28" s="4"/>
      <c r="O28" s="4"/>
      <c r="P28" s="4"/>
      <c r="Q28" s="4"/>
      <c r="R28" s="4"/>
      <c r="S28" s="4"/>
      <c r="T28" s="4"/>
      <c r="U28" s="4"/>
      <c r="V28" s="4"/>
      <c r="W28" s="4"/>
      <c r="X28" s="4"/>
      <c r="Y28" s="4"/>
      <c r="Z28" s="4"/>
      <c r="AA28" s="4"/>
      <c r="AB28" s="4"/>
      <c r="AC28" s="4"/>
      <c r="AD28" s="4"/>
      <c r="AE28" s="4"/>
      <c r="AF28" s="4"/>
    </row>
    <row r="29" spans="1:32" ht="15" customHeight="1" x14ac:dyDescent="0.25">
      <c r="A29" s="21"/>
      <c r="B29" s="97"/>
      <c r="C29" s="135" t="s">
        <v>46</v>
      </c>
      <c r="D29" s="130" t="str">
        <f>TEXT(162023,"#0000000")</f>
        <v>0162023</v>
      </c>
      <c r="E29" s="131">
        <v>443</v>
      </c>
      <c r="F29" s="131">
        <v>365.58096135721024</v>
      </c>
      <c r="G29" s="132">
        <v>45073</v>
      </c>
      <c r="H29" s="102"/>
      <c r="I29" s="21"/>
      <c r="J29" s="4"/>
      <c r="K29" s="4"/>
      <c r="L29" s="4"/>
      <c r="M29" s="4"/>
      <c r="N29" s="4"/>
      <c r="O29" s="4"/>
      <c r="P29" s="4"/>
      <c r="Q29" s="4"/>
      <c r="R29" s="4"/>
      <c r="S29" s="4"/>
      <c r="T29" s="4"/>
      <c r="U29" s="4"/>
      <c r="V29" s="4"/>
      <c r="W29" s="4"/>
      <c r="X29" s="4"/>
      <c r="Y29" s="4"/>
      <c r="Z29" s="4"/>
      <c r="AA29" s="4"/>
      <c r="AB29" s="4"/>
      <c r="AC29" s="4"/>
      <c r="AD29" s="4"/>
      <c r="AE29" s="4"/>
      <c r="AF29" s="4"/>
    </row>
    <row r="30" spans="1:32" ht="15" customHeight="1" x14ac:dyDescent="0.25">
      <c r="A30" s="21"/>
      <c r="B30" s="97"/>
      <c r="C30" s="135" t="s">
        <v>46</v>
      </c>
      <c r="D30" s="130" t="str">
        <f>TEXT(172023,"#0000000")</f>
        <v>0172023</v>
      </c>
      <c r="E30" s="131">
        <v>466</v>
      </c>
      <c r="F30" s="131">
        <v>384.43110273327051</v>
      </c>
      <c r="G30" s="132">
        <v>45073</v>
      </c>
      <c r="H30" s="102"/>
      <c r="I30" s="21"/>
      <c r="J30" s="4"/>
      <c r="K30" s="4"/>
      <c r="L30" s="4"/>
      <c r="M30" s="4"/>
      <c r="N30" s="4"/>
      <c r="O30" s="4"/>
      <c r="P30" s="4"/>
      <c r="Q30" s="4"/>
      <c r="R30" s="4"/>
      <c r="S30" s="4"/>
      <c r="T30" s="4"/>
      <c r="U30" s="4"/>
      <c r="V30" s="4"/>
      <c r="W30" s="4"/>
      <c r="X30" s="4"/>
      <c r="Y30" s="4"/>
      <c r="Z30" s="4"/>
      <c r="AA30" s="4"/>
      <c r="AB30" s="4"/>
      <c r="AC30" s="4"/>
      <c r="AD30" s="4"/>
      <c r="AE30" s="4"/>
      <c r="AF30" s="4"/>
    </row>
    <row r="31" spans="1:32" ht="15" customHeight="1" x14ac:dyDescent="0.25">
      <c r="A31" s="21"/>
      <c r="B31" s="97"/>
      <c r="C31" s="135" t="s">
        <v>46</v>
      </c>
      <c r="D31" s="130" t="str">
        <f>TEXT(182023,"#0000000")</f>
        <v>0182023</v>
      </c>
      <c r="E31" s="131">
        <v>466</v>
      </c>
      <c r="F31" s="131">
        <v>384.43110273327051</v>
      </c>
      <c r="G31" s="132">
        <v>45073</v>
      </c>
      <c r="H31" s="102"/>
      <c r="I31" s="21"/>
      <c r="J31" s="4"/>
      <c r="K31" s="4"/>
      <c r="L31" s="4"/>
      <c r="M31" s="4"/>
      <c r="N31" s="4"/>
      <c r="O31" s="4"/>
      <c r="P31" s="4"/>
      <c r="Q31" s="4"/>
      <c r="R31" s="4"/>
      <c r="S31" s="4"/>
      <c r="T31" s="4"/>
      <c r="U31" s="4"/>
      <c r="V31" s="4"/>
      <c r="W31" s="4"/>
      <c r="X31" s="4"/>
      <c r="Y31" s="4"/>
      <c r="Z31" s="4"/>
      <c r="AA31" s="4"/>
      <c r="AB31" s="4"/>
      <c r="AC31" s="4"/>
      <c r="AD31" s="4"/>
      <c r="AE31" s="4"/>
      <c r="AF31" s="4"/>
    </row>
    <row r="32" spans="1:32" ht="15" customHeight="1" x14ac:dyDescent="0.25">
      <c r="A32" s="21"/>
      <c r="B32" s="97"/>
      <c r="C32" s="135" t="s">
        <v>46</v>
      </c>
      <c r="D32" s="130" t="str">
        <f>TEXT(192023,"#0000000")</f>
        <v>0192023</v>
      </c>
      <c r="E32" s="131">
        <v>682</v>
      </c>
      <c r="F32" s="131">
        <v>563.50744580584353</v>
      </c>
      <c r="G32" s="132">
        <v>45075</v>
      </c>
      <c r="H32" s="102"/>
      <c r="I32" s="21"/>
      <c r="J32" s="4"/>
      <c r="K32" s="4"/>
      <c r="L32" s="4"/>
      <c r="M32" s="4"/>
      <c r="N32" s="4"/>
      <c r="O32" s="4"/>
      <c r="P32" s="4"/>
      <c r="Q32" s="4"/>
      <c r="R32" s="4"/>
      <c r="S32" s="4"/>
      <c r="T32" s="4"/>
      <c r="U32" s="4"/>
      <c r="V32" s="4"/>
      <c r="W32" s="4"/>
      <c r="X32" s="4"/>
      <c r="Y32" s="4"/>
      <c r="Z32" s="4"/>
      <c r="AA32" s="4"/>
      <c r="AB32" s="4"/>
      <c r="AC32" s="4"/>
      <c r="AD32" s="4"/>
      <c r="AE32" s="4"/>
      <c r="AF32" s="4"/>
    </row>
    <row r="33" spans="1:32" ht="15" customHeight="1" x14ac:dyDescent="0.25">
      <c r="A33" s="21"/>
      <c r="B33" s="97"/>
      <c r="C33" s="135" t="s">
        <v>46</v>
      </c>
      <c r="D33" s="130" t="str">
        <f>TEXT(202023,"#0000000")</f>
        <v>0202023</v>
      </c>
      <c r="E33" s="131">
        <v>682</v>
      </c>
      <c r="F33" s="131">
        <v>563.50744580584353</v>
      </c>
      <c r="G33" s="132">
        <v>45073</v>
      </c>
      <c r="H33" s="102"/>
      <c r="I33" s="21"/>
      <c r="J33" s="4"/>
      <c r="K33" s="4"/>
      <c r="L33" s="4"/>
      <c r="M33" s="4"/>
      <c r="N33" s="4"/>
      <c r="O33" s="4"/>
      <c r="P33" s="4"/>
      <c r="Q33" s="4"/>
      <c r="R33" s="4"/>
      <c r="S33" s="4"/>
      <c r="T33" s="4"/>
      <c r="U33" s="4"/>
      <c r="V33" s="4"/>
      <c r="W33" s="4"/>
      <c r="X33" s="4"/>
      <c r="Y33" s="4"/>
      <c r="Z33" s="4"/>
      <c r="AA33" s="4"/>
      <c r="AB33" s="4"/>
      <c r="AC33" s="4"/>
      <c r="AD33" s="4"/>
      <c r="AE33" s="4"/>
      <c r="AF33" s="4"/>
    </row>
    <row r="34" spans="1:32" ht="15" customHeight="1" x14ac:dyDescent="0.25">
      <c r="A34" s="21"/>
      <c r="B34" s="97"/>
      <c r="C34" s="135" t="s">
        <v>46</v>
      </c>
      <c r="D34" s="130" t="str">
        <f>TEXT(212023,"#0000000")</f>
        <v>0212023</v>
      </c>
      <c r="E34" s="131">
        <v>682</v>
      </c>
      <c r="F34" s="131">
        <v>563.50744580584353</v>
      </c>
      <c r="G34" s="132">
        <v>45073</v>
      </c>
      <c r="H34" s="102"/>
      <c r="I34" s="21"/>
      <c r="J34" s="4"/>
      <c r="K34" s="4"/>
      <c r="L34" s="4"/>
      <c r="M34" s="4"/>
      <c r="N34" s="4"/>
      <c r="O34" s="4"/>
      <c r="P34" s="4"/>
      <c r="Q34" s="4"/>
      <c r="R34" s="4"/>
      <c r="S34" s="4"/>
      <c r="T34" s="4"/>
      <c r="U34" s="4"/>
      <c r="V34" s="4"/>
      <c r="W34" s="4"/>
      <c r="X34" s="4"/>
      <c r="Y34" s="4"/>
      <c r="Z34" s="4"/>
      <c r="AA34" s="4"/>
      <c r="AB34" s="4"/>
      <c r="AC34" s="4"/>
      <c r="AD34" s="4"/>
      <c r="AE34" s="4"/>
      <c r="AF34" s="4"/>
    </row>
    <row r="35" spans="1:32" ht="15" customHeight="1" x14ac:dyDescent="0.25">
      <c r="A35" s="21"/>
      <c r="B35" s="97"/>
      <c r="C35" s="135" t="s">
        <v>46</v>
      </c>
      <c r="D35" s="130" t="str">
        <f>TEXT(222023,"#0000000")</f>
        <v>0222023</v>
      </c>
      <c r="E35" s="131">
        <v>682</v>
      </c>
      <c r="F35" s="131">
        <v>563.50744580584353</v>
      </c>
      <c r="G35" s="132">
        <v>45073</v>
      </c>
      <c r="H35" s="102"/>
      <c r="I35" s="21"/>
      <c r="J35" s="4"/>
      <c r="K35" s="4"/>
      <c r="L35" s="4"/>
      <c r="M35" s="4"/>
      <c r="N35" s="4"/>
      <c r="O35" s="4"/>
      <c r="P35" s="4"/>
      <c r="Q35" s="4"/>
      <c r="R35" s="4"/>
      <c r="S35" s="4"/>
      <c r="T35" s="4"/>
      <c r="U35" s="4"/>
      <c r="V35" s="4"/>
      <c r="W35" s="4"/>
      <c r="X35" s="4"/>
      <c r="Y35" s="4"/>
      <c r="Z35" s="4"/>
      <c r="AA35" s="4"/>
      <c r="AB35" s="4"/>
      <c r="AC35" s="4"/>
      <c r="AD35" s="4"/>
      <c r="AE35" s="4"/>
      <c r="AF35" s="4"/>
    </row>
    <row r="36" spans="1:32" ht="15" customHeight="1" x14ac:dyDescent="0.25">
      <c r="A36" s="21"/>
      <c r="B36" s="97"/>
      <c r="C36" s="135" t="s">
        <v>46</v>
      </c>
      <c r="D36" s="130" t="str">
        <f>TEXT(232023,"#0000000")</f>
        <v>0232023</v>
      </c>
      <c r="E36" s="131">
        <v>682</v>
      </c>
      <c r="F36" s="131">
        <v>563.50744580584353</v>
      </c>
      <c r="G36" s="132">
        <v>45074</v>
      </c>
      <c r="H36" s="102"/>
      <c r="I36" s="21"/>
      <c r="J36" s="4"/>
      <c r="K36" s="4"/>
      <c r="L36" s="4"/>
      <c r="M36" s="4"/>
      <c r="N36" s="4"/>
      <c r="O36" s="4"/>
      <c r="P36" s="4"/>
      <c r="Q36" s="4"/>
      <c r="R36" s="4"/>
      <c r="S36" s="4"/>
      <c r="T36" s="4"/>
      <c r="U36" s="4"/>
      <c r="V36" s="4"/>
      <c r="W36" s="4"/>
      <c r="X36" s="4"/>
      <c r="Y36" s="4"/>
      <c r="Z36" s="4"/>
      <c r="AA36" s="4"/>
      <c r="AB36" s="4"/>
      <c r="AC36" s="4"/>
      <c r="AD36" s="4"/>
      <c r="AE36" s="4"/>
      <c r="AF36" s="4"/>
    </row>
    <row r="37" spans="1:32" ht="15" customHeight="1" x14ac:dyDescent="0.25">
      <c r="A37" s="21"/>
      <c r="B37" s="97"/>
      <c r="C37" s="135" t="s">
        <v>46</v>
      </c>
      <c r="D37" s="130" t="str">
        <f>TEXT(242023,"#0000000")</f>
        <v>0242023</v>
      </c>
      <c r="E37" s="131">
        <v>682</v>
      </c>
      <c r="F37" s="131">
        <v>563.50744580584353</v>
      </c>
      <c r="G37" s="132">
        <v>45074</v>
      </c>
      <c r="H37" s="102"/>
      <c r="I37" s="21"/>
      <c r="J37" s="4"/>
      <c r="K37" s="4"/>
      <c r="L37" s="4"/>
      <c r="M37" s="4"/>
      <c r="N37" s="4"/>
      <c r="O37" s="4"/>
      <c r="P37" s="4"/>
      <c r="Q37" s="4"/>
      <c r="R37" s="4"/>
      <c r="S37" s="4"/>
      <c r="T37" s="4"/>
      <c r="U37" s="4"/>
      <c r="V37" s="4"/>
      <c r="W37" s="4"/>
      <c r="X37" s="4"/>
      <c r="Y37" s="4"/>
      <c r="Z37" s="4"/>
      <c r="AA37" s="4"/>
      <c r="AB37" s="4"/>
      <c r="AC37" s="4"/>
      <c r="AD37" s="4"/>
      <c r="AE37" s="4"/>
      <c r="AF37" s="4"/>
    </row>
    <row r="38" spans="1:32" ht="15" customHeight="1" x14ac:dyDescent="0.25">
      <c r="A38" s="21"/>
      <c r="B38" s="97"/>
      <c r="C38" s="135" t="s">
        <v>46</v>
      </c>
      <c r="D38" s="130" t="str">
        <f>TEXT(252023,"#0000000")</f>
        <v>0252023</v>
      </c>
      <c r="E38" s="131">
        <v>682</v>
      </c>
      <c r="F38" s="131">
        <v>563.50744580584353</v>
      </c>
      <c r="G38" s="132">
        <v>45074</v>
      </c>
      <c r="H38" s="102"/>
      <c r="I38" s="21"/>
      <c r="J38" s="4"/>
      <c r="K38" s="4"/>
      <c r="L38" s="4"/>
      <c r="M38" s="4"/>
      <c r="N38" s="4"/>
      <c r="O38" s="4"/>
      <c r="P38" s="4"/>
      <c r="Q38" s="4"/>
      <c r="R38" s="4"/>
      <c r="S38" s="4"/>
      <c r="T38" s="4"/>
      <c r="U38" s="4"/>
      <c r="V38" s="4"/>
      <c r="W38" s="4"/>
      <c r="X38" s="4"/>
      <c r="Y38" s="4"/>
      <c r="Z38" s="4"/>
      <c r="AA38" s="4"/>
      <c r="AB38" s="4"/>
      <c r="AC38" s="4"/>
      <c r="AD38" s="4"/>
      <c r="AE38" s="4"/>
      <c r="AF38" s="4"/>
    </row>
    <row r="39" spans="1:32" ht="15" customHeight="1" x14ac:dyDescent="0.25">
      <c r="A39" s="21"/>
      <c r="B39" s="97"/>
      <c r="C39" s="135"/>
      <c r="D39" s="130"/>
      <c r="E39" s="131"/>
      <c r="F39" s="131"/>
      <c r="G39" s="132"/>
      <c r="H39" s="102"/>
      <c r="I39" s="21"/>
      <c r="J39" s="4"/>
      <c r="K39" s="4"/>
      <c r="L39" s="4"/>
      <c r="M39" s="4"/>
      <c r="N39" s="4"/>
      <c r="O39" s="4"/>
      <c r="P39" s="4"/>
      <c r="Q39" s="4"/>
      <c r="R39" s="4"/>
      <c r="S39" s="4"/>
      <c r="T39" s="4"/>
      <c r="U39" s="4"/>
      <c r="V39" s="4"/>
      <c r="W39" s="4"/>
      <c r="X39" s="4"/>
      <c r="Y39" s="4"/>
      <c r="Z39" s="4"/>
      <c r="AA39" s="4"/>
      <c r="AB39" s="4"/>
      <c r="AC39" s="4"/>
      <c r="AD39" s="4"/>
      <c r="AE39" s="4"/>
      <c r="AF39" s="4"/>
    </row>
    <row r="40" spans="1:32" ht="15" customHeight="1" x14ac:dyDescent="0.25">
      <c r="A40" s="21"/>
      <c r="B40" s="97"/>
      <c r="C40" s="135"/>
      <c r="D40" s="130"/>
      <c r="E40" s="131"/>
      <c r="F40" s="131"/>
      <c r="G40" s="132"/>
      <c r="H40" s="102"/>
      <c r="I40" s="21"/>
      <c r="J40" s="4"/>
      <c r="K40" s="4"/>
      <c r="L40" s="4"/>
      <c r="M40" s="4"/>
      <c r="N40" s="4"/>
      <c r="O40" s="4"/>
      <c r="P40" s="4"/>
      <c r="Q40" s="4"/>
      <c r="R40" s="4"/>
      <c r="S40" s="4"/>
      <c r="T40" s="4"/>
      <c r="U40" s="4"/>
      <c r="V40" s="4"/>
      <c r="W40" s="4"/>
      <c r="X40" s="4"/>
      <c r="Y40" s="4"/>
      <c r="Z40" s="4"/>
      <c r="AA40" s="4"/>
      <c r="AB40" s="4"/>
      <c r="AC40" s="4"/>
      <c r="AD40" s="4"/>
      <c r="AE40" s="4"/>
      <c r="AF40" s="4"/>
    </row>
    <row r="41" spans="1:32" ht="15" customHeight="1" x14ac:dyDescent="0.25">
      <c r="A41" s="21"/>
      <c r="B41" s="97"/>
      <c r="C41" s="135"/>
      <c r="D41" s="130"/>
      <c r="E41" s="131"/>
      <c r="F41" s="131"/>
      <c r="G41" s="132"/>
      <c r="H41" s="102"/>
      <c r="I41" s="21"/>
      <c r="J41" s="4"/>
      <c r="K41" s="4"/>
      <c r="L41" s="4"/>
      <c r="M41" s="4"/>
      <c r="N41" s="4"/>
      <c r="O41" s="4"/>
      <c r="P41" s="4"/>
      <c r="Q41" s="4"/>
      <c r="R41" s="4"/>
      <c r="S41" s="4"/>
      <c r="T41" s="4"/>
      <c r="U41" s="4"/>
      <c r="V41" s="4"/>
      <c r="W41" s="4"/>
      <c r="X41" s="4"/>
      <c r="Y41" s="4"/>
      <c r="Z41" s="4"/>
      <c r="AA41" s="4"/>
      <c r="AB41" s="4"/>
      <c r="AC41" s="4"/>
      <c r="AD41" s="4"/>
      <c r="AE41" s="4"/>
      <c r="AF41" s="4"/>
    </row>
    <row r="42" spans="1:32" ht="15" customHeight="1" x14ac:dyDescent="0.25">
      <c r="A42" s="21"/>
      <c r="B42" s="97"/>
      <c r="C42" s="135"/>
      <c r="D42" s="130"/>
      <c r="E42" s="131"/>
      <c r="F42" s="131"/>
      <c r="G42" s="132"/>
      <c r="H42" s="102"/>
      <c r="I42" s="21"/>
      <c r="J42" s="4"/>
      <c r="K42" s="4"/>
      <c r="L42" s="4"/>
      <c r="M42" s="4"/>
      <c r="N42" s="4"/>
      <c r="O42" s="4"/>
      <c r="P42" s="4"/>
      <c r="Q42" s="4"/>
      <c r="R42" s="4"/>
      <c r="S42" s="4"/>
      <c r="T42" s="4"/>
      <c r="U42" s="4"/>
      <c r="V42" s="4"/>
      <c r="W42" s="4"/>
      <c r="X42" s="4"/>
      <c r="Y42" s="4"/>
      <c r="Z42" s="4"/>
      <c r="AA42" s="4"/>
      <c r="AB42" s="4"/>
      <c r="AC42" s="4"/>
      <c r="AD42" s="4"/>
      <c r="AE42" s="4"/>
      <c r="AF42" s="4"/>
    </row>
    <row r="43" spans="1:32" ht="15" customHeight="1" x14ac:dyDescent="0.25">
      <c r="A43" s="21"/>
      <c r="B43" s="97"/>
      <c r="C43" s="129"/>
      <c r="D43" s="130"/>
      <c r="E43" s="136"/>
      <c r="F43" s="136"/>
      <c r="G43" s="132"/>
      <c r="H43" s="102"/>
      <c r="I43" s="21"/>
      <c r="J43" s="4"/>
      <c r="K43" s="4"/>
      <c r="L43" s="4"/>
      <c r="M43" s="4"/>
      <c r="N43" s="4"/>
      <c r="O43" s="4"/>
      <c r="P43" s="4"/>
      <c r="Q43" s="4"/>
      <c r="R43" s="4"/>
      <c r="S43" s="4"/>
      <c r="T43" s="4"/>
      <c r="U43" s="4"/>
      <c r="V43" s="4"/>
      <c r="W43" s="4"/>
      <c r="X43" s="4"/>
      <c r="Y43" s="4"/>
      <c r="Z43" s="4"/>
      <c r="AA43" s="4"/>
      <c r="AB43" s="4"/>
      <c r="AC43" s="4"/>
      <c r="AD43" s="4"/>
      <c r="AE43" s="4"/>
      <c r="AF43" s="4"/>
    </row>
    <row r="44" spans="1:32" ht="15" customHeight="1" x14ac:dyDescent="0.25">
      <c r="A44" s="21"/>
      <c r="B44" s="97"/>
      <c r="C44" s="129"/>
      <c r="D44" s="130"/>
      <c r="E44" s="136"/>
      <c r="F44" s="136"/>
      <c r="G44" s="132"/>
      <c r="H44" s="102"/>
      <c r="I44" s="21"/>
      <c r="J44" s="4"/>
      <c r="K44" s="4"/>
      <c r="L44" s="4"/>
      <c r="M44" s="4"/>
      <c r="N44" s="4"/>
      <c r="O44" s="4"/>
      <c r="P44" s="4"/>
      <c r="Q44" s="4"/>
      <c r="R44" s="4"/>
      <c r="S44" s="4"/>
      <c r="T44" s="4"/>
      <c r="U44" s="4"/>
      <c r="V44" s="4"/>
      <c r="W44" s="4"/>
      <c r="X44" s="4"/>
      <c r="Y44" s="4"/>
      <c r="Z44" s="4"/>
      <c r="AA44" s="4"/>
      <c r="AB44" s="4"/>
      <c r="AC44" s="4"/>
      <c r="AD44" s="4"/>
      <c r="AE44" s="4"/>
      <c r="AF44" s="4"/>
    </row>
    <row r="45" spans="1:32" ht="15" customHeight="1" x14ac:dyDescent="0.25">
      <c r="A45" s="21"/>
      <c r="B45" s="97"/>
      <c r="C45" s="129"/>
      <c r="D45" s="130"/>
      <c r="E45" s="131"/>
      <c r="F45" s="131"/>
      <c r="G45" s="132"/>
      <c r="H45" s="102"/>
      <c r="I45" s="21"/>
      <c r="J45" s="4"/>
      <c r="K45" s="4"/>
      <c r="L45" s="4"/>
      <c r="M45" s="4"/>
      <c r="N45" s="4"/>
      <c r="O45" s="4"/>
      <c r="P45" s="4"/>
      <c r="Q45" s="4"/>
      <c r="R45" s="4"/>
      <c r="S45" s="4"/>
      <c r="T45" s="4"/>
      <c r="U45" s="4"/>
      <c r="V45" s="4"/>
      <c r="W45" s="4"/>
      <c r="X45" s="4"/>
      <c r="Y45" s="4"/>
      <c r="Z45" s="4"/>
      <c r="AA45" s="4"/>
      <c r="AB45" s="4"/>
      <c r="AC45" s="4"/>
      <c r="AD45" s="4"/>
      <c r="AE45" s="4"/>
      <c r="AF45" s="4"/>
    </row>
    <row r="46" spans="1:32" ht="15" customHeight="1" x14ac:dyDescent="0.25">
      <c r="A46" s="21"/>
      <c r="B46" s="97"/>
      <c r="C46" s="129"/>
      <c r="D46" s="130"/>
      <c r="E46" s="131"/>
      <c r="F46" s="131"/>
      <c r="G46" s="132"/>
      <c r="H46" s="102"/>
      <c r="I46" s="21"/>
      <c r="J46" s="4"/>
      <c r="K46" s="4"/>
      <c r="L46" s="4"/>
      <c r="M46" s="4"/>
      <c r="N46" s="4"/>
      <c r="O46" s="4"/>
      <c r="P46" s="4"/>
      <c r="Q46" s="4"/>
      <c r="R46" s="4"/>
      <c r="S46" s="4"/>
      <c r="T46" s="4"/>
      <c r="U46" s="4"/>
      <c r="V46" s="4"/>
      <c r="W46" s="4"/>
      <c r="X46" s="4"/>
      <c r="Y46" s="4"/>
      <c r="Z46" s="4"/>
      <c r="AA46" s="4"/>
      <c r="AB46" s="4"/>
      <c r="AC46" s="4"/>
      <c r="AD46" s="4"/>
      <c r="AE46" s="4"/>
      <c r="AF46" s="4"/>
    </row>
    <row r="47" spans="1:32" ht="15" customHeight="1" x14ac:dyDescent="0.25">
      <c r="A47" s="21"/>
      <c r="B47" s="97"/>
      <c r="C47" s="129"/>
      <c r="D47" s="130"/>
      <c r="E47" s="131"/>
      <c r="F47" s="131"/>
      <c r="G47" s="132"/>
      <c r="H47" s="102"/>
      <c r="I47" s="21"/>
      <c r="J47" s="4"/>
      <c r="K47" s="4"/>
      <c r="L47" s="4"/>
      <c r="M47" s="4"/>
      <c r="N47" s="4"/>
      <c r="O47" s="4"/>
      <c r="P47" s="4"/>
      <c r="Q47" s="4"/>
      <c r="R47" s="4"/>
      <c r="S47" s="4"/>
      <c r="T47" s="4"/>
      <c r="U47" s="4"/>
      <c r="V47" s="4"/>
      <c r="W47" s="4"/>
      <c r="X47" s="4"/>
      <c r="Y47" s="4"/>
      <c r="Z47" s="4"/>
      <c r="AA47" s="4"/>
      <c r="AB47" s="4"/>
      <c r="AC47" s="4"/>
      <c r="AD47" s="4"/>
      <c r="AE47" s="4"/>
      <c r="AF47" s="4"/>
    </row>
    <row r="48" spans="1:32" ht="15" customHeight="1" x14ac:dyDescent="0.25">
      <c r="A48" s="21"/>
      <c r="B48" s="97"/>
      <c r="C48" s="129"/>
      <c r="D48" s="130"/>
      <c r="E48" s="131"/>
      <c r="F48" s="131"/>
      <c r="G48" s="132"/>
      <c r="H48" s="102"/>
      <c r="I48" s="21"/>
      <c r="J48" s="4"/>
      <c r="K48" s="4"/>
      <c r="L48" s="4"/>
      <c r="M48" s="4"/>
      <c r="N48" s="4"/>
      <c r="O48" s="4"/>
      <c r="P48" s="4"/>
      <c r="Q48" s="4"/>
      <c r="R48" s="4"/>
      <c r="S48" s="4"/>
      <c r="T48" s="4"/>
      <c r="U48" s="4"/>
      <c r="V48" s="4"/>
      <c r="W48" s="4"/>
      <c r="X48" s="4"/>
      <c r="Y48" s="4"/>
      <c r="Z48" s="4"/>
      <c r="AA48" s="4"/>
      <c r="AB48" s="4"/>
      <c r="AC48" s="4"/>
      <c r="AD48" s="4"/>
      <c r="AE48" s="4"/>
      <c r="AF48" s="4"/>
    </row>
    <row r="49" spans="1:81" ht="15" customHeight="1" x14ac:dyDescent="0.25">
      <c r="A49" s="21"/>
      <c r="B49" s="97"/>
      <c r="C49" s="129"/>
      <c r="D49" s="130"/>
      <c r="E49" s="131"/>
      <c r="F49" s="131"/>
      <c r="G49" s="132"/>
      <c r="H49" s="102"/>
      <c r="I49" s="21"/>
      <c r="J49" s="4"/>
      <c r="K49" s="4"/>
      <c r="L49" s="4"/>
      <c r="M49" s="4"/>
      <c r="N49" s="4"/>
      <c r="O49" s="4"/>
      <c r="P49" s="4"/>
      <c r="Q49" s="4"/>
      <c r="R49" s="4"/>
      <c r="S49" s="4"/>
      <c r="T49" s="4"/>
      <c r="U49" s="4"/>
      <c r="V49" s="4"/>
      <c r="W49" s="4"/>
      <c r="X49" s="4"/>
      <c r="Y49" s="4"/>
      <c r="Z49" s="4"/>
      <c r="AA49" s="4"/>
      <c r="AB49" s="4"/>
      <c r="AC49" s="4"/>
      <c r="AD49" s="4"/>
      <c r="AE49" s="4"/>
      <c r="AF49" s="4"/>
    </row>
    <row r="50" spans="1:81" ht="15" customHeight="1" x14ac:dyDescent="0.25">
      <c r="A50" s="21"/>
      <c r="B50" s="97"/>
      <c r="C50" s="129"/>
      <c r="D50" s="130"/>
      <c r="E50" s="131"/>
      <c r="F50" s="131"/>
      <c r="G50" s="132"/>
      <c r="H50" s="102"/>
      <c r="I50" s="21"/>
      <c r="J50" s="4"/>
      <c r="K50" s="4"/>
      <c r="L50" s="4"/>
      <c r="M50" s="4"/>
      <c r="N50" s="4"/>
      <c r="O50" s="4"/>
      <c r="P50" s="4"/>
      <c r="Q50" s="4"/>
      <c r="R50" s="4"/>
      <c r="S50" s="4"/>
      <c r="T50" s="4"/>
      <c r="U50" s="4"/>
      <c r="V50" s="4"/>
      <c r="W50" s="4"/>
      <c r="X50" s="4"/>
      <c r="Y50" s="4"/>
      <c r="Z50" s="4"/>
      <c r="AA50" s="4"/>
      <c r="AB50" s="4"/>
      <c r="AC50" s="4"/>
      <c r="AD50" s="4"/>
      <c r="AE50" s="4"/>
      <c r="AF50" s="4"/>
    </row>
    <row r="51" spans="1:81" ht="15" customHeight="1" x14ac:dyDescent="0.25">
      <c r="A51" s="21"/>
      <c r="B51" s="97"/>
      <c r="C51" s="129"/>
      <c r="D51" s="130"/>
      <c r="E51" s="131"/>
      <c r="F51" s="131"/>
      <c r="G51" s="132"/>
      <c r="H51" s="102"/>
      <c r="I51" s="21"/>
      <c r="J51" s="4"/>
      <c r="K51" s="4"/>
      <c r="L51" s="4"/>
      <c r="M51" s="4"/>
      <c r="N51" s="4"/>
      <c r="O51" s="4"/>
      <c r="P51" s="4"/>
      <c r="Q51" s="4"/>
      <c r="R51" s="4"/>
      <c r="S51" s="4"/>
      <c r="T51" s="4"/>
      <c r="U51" s="4"/>
      <c r="V51" s="4"/>
      <c r="W51" s="4"/>
      <c r="X51" s="4"/>
      <c r="Y51" s="4"/>
      <c r="Z51" s="4"/>
      <c r="AA51" s="4"/>
      <c r="AB51" s="4"/>
      <c r="AC51" s="4"/>
      <c r="AD51" s="4"/>
      <c r="AE51" s="4"/>
      <c r="AF51" s="4"/>
    </row>
    <row r="52" spans="1:81" ht="15" customHeight="1" x14ac:dyDescent="0.25">
      <c r="A52" s="21"/>
      <c r="B52" s="97"/>
      <c r="C52" s="129"/>
      <c r="D52" s="130"/>
      <c r="E52" s="131"/>
      <c r="F52" s="131"/>
      <c r="G52" s="132"/>
      <c r="H52" s="102"/>
      <c r="I52" s="21"/>
      <c r="J52" s="4"/>
      <c r="K52" s="4"/>
      <c r="L52" s="4"/>
      <c r="M52" s="4"/>
      <c r="N52" s="4"/>
      <c r="O52" s="4"/>
      <c r="P52" s="4"/>
      <c r="Q52" s="4"/>
      <c r="R52" s="4"/>
      <c r="S52" s="4"/>
      <c r="T52" s="4"/>
      <c r="U52" s="4"/>
      <c r="V52" s="4"/>
      <c r="W52" s="4"/>
      <c r="X52" s="4"/>
      <c r="Y52" s="4"/>
      <c r="Z52" s="4"/>
      <c r="AA52" s="4"/>
      <c r="AB52" s="4"/>
      <c r="AC52" s="4"/>
      <c r="AD52" s="4"/>
      <c r="AE52" s="4"/>
      <c r="AF52" s="4"/>
    </row>
    <row r="53" spans="1:81" ht="15" customHeight="1" x14ac:dyDescent="0.25">
      <c r="A53" s="21"/>
      <c r="B53" s="97"/>
      <c r="C53" s="129"/>
      <c r="D53" s="130"/>
      <c r="E53" s="131"/>
      <c r="F53" s="131"/>
      <c r="G53" s="132"/>
      <c r="H53" s="102"/>
      <c r="I53" s="21"/>
      <c r="J53" s="4"/>
      <c r="K53" s="4"/>
      <c r="L53" s="4"/>
      <c r="M53" s="4"/>
      <c r="N53" s="4"/>
      <c r="O53" s="4"/>
      <c r="P53" s="4"/>
      <c r="Q53" s="4"/>
      <c r="R53" s="4"/>
      <c r="S53" s="4"/>
      <c r="T53" s="4"/>
      <c r="U53" s="4"/>
      <c r="V53" s="4"/>
      <c r="W53" s="4"/>
      <c r="X53" s="4"/>
      <c r="Y53" s="4"/>
      <c r="Z53" s="4"/>
      <c r="AA53" s="4"/>
      <c r="AB53" s="4"/>
      <c r="AC53" s="4"/>
      <c r="AD53" s="4"/>
      <c r="AE53" s="4"/>
      <c r="AF53" s="4"/>
    </row>
    <row r="54" spans="1:81" ht="15" customHeight="1" x14ac:dyDescent="0.25">
      <c r="A54" s="21"/>
      <c r="B54" s="97"/>
      <c r="C54" s="129"/>
      <c r="D54" s="130"/>
      <c r="E54" s="131"/>
      <c r="F54" s="131"/>
      <c r="G54" s="132"/>
      <c r="H54" s="102"/>
      <c r="I54" s="21"/>
      <c r="L54" s="80"/>
      <c r="M54" s="11"/>
    </row>
    <row r="55" spans="1:81" ht="15" customHeight="1" x14ac:dyDescent="0.25">
      <c r="A55" s="21"/>
      <c r="B55" s="97"/>
      <c r="C55" s="129"/>
      <c r="D55" s="130"/>
      <c r="E55" s="131"/>
      <c r="F55" s="131"/>
      <c r="G55" s="132"/>
      <c r="H55" s="102"/>
      <c r="I55" s="21"/>
      <c r="L55" s="80"/>
      <c r="M55" s="11"/>
    </row>
    <row r="56" spans="1:81" ht="15" customHeight="1" x14ac:dyDescent="0.25">
      <c r="A56" s="21"/>
      <c r="B56" s="97"/>
      <c r="C56" s="129"/>
      <c r="D56" s="130"/>
      <c r="E56" s="127"/>
      <c r="F56" s="131"/>
      <c r="G56" s="137"/>
      <c r="H56" s="102"/>
      <c r="I56" s="21"/>
      <c r="J56" s="14"/>
      <c r="K56" s="14"/>
      <c r="L56" s="14"/>
      <c r="M56" s="14"/>
      <c r="N56" s="14"/>
      <c r="O56" s="14"/>
      <c r="P56" s="14"/>
      <c r="Q56" s="14"/>
      <c r="R56" s="14"/>
      <c r="S56" s="14"/>
    </row>
    <row r="57" spans="1:81" ht="15" customHeight="1" x14ac:dyDescent="0.25">
      <c r="A57" s="21"/>
      <c r="B57" s="97"/>
      <c r="C57" s="129"/>
      <c r="D57" s="130"/>
      <c r="E57" s="127"/>
      <c r="F57" s="131"/>
      <c r="G57" s="137"/>
      <c r="H57" s="102"/>
      <c r="I57" s="21"/>
      <c r="J57" s="14"/>
      <c r="K57" s="14"/>
      <c r="L57" s="65"/>
      <c r="M57" s="65"/>
      <c r="N57" s="65"/>
      <c r="O57" s="65"/>
      <c r="P57" s="65"/>
      <c r="Q57" s="65"/>
      <c r="R57" s="65"/>
      <c r="S57" s="65"/>
    </row>
    <row r="58" spans="1:81" ht="15" customHeight="1" x14ac:dyDescent="0.25">
      <c r="A58" s="21"/>
      <c r="B58" s="97"/>
      <c r="C58" s="129"/>
      <c r="D58" s="130"/>
      <c r="E58" s="127"/>
      <c r="F58" s="131"/>
      <c r="G58" s="137"/>
      <c r="H58" s="103"/>
      <c r="I58"/>
      <c r="J58" s="15"/>
      <c r="K58" s="15"/>
      <c r="L58" s="65"/>
      <c r="M58" s="65"/>
      <c r="N58" s="65"/>
      <c r="O58" s="65"/>
      <c r="P58" s="65"/>
      <c r="Q58" s="65"/>
      <c r="R58" s="65"/>
      <c r="S58" s="65"/>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row>
    <row r="59" spans="1:81" ht="15" customHeight="1" x14ac:dyDescent="0.25">
      <c r="A59" s="21"/>
      <c r="B59" s="97"/>
      <c r="C59" s="129"/>
      <c r="D59" s="130"/>
      <c r="E59" s="131"/>
      <c r="F59" s="131"/>
      <c r="G59" s="137"/>
      <c r="H59" s="103"/>
      <c r="I59"/>
      <c r="J59" s="15"/>
      <c r="K59" s="15"/>
      <c r="L59" s="65"/>
      <c r="M59" s="65"/>
      <c r="N59" s="65"/>
      <c r="O59" s="65"/>
      <c r="P59" s="65"/>
      <c r="Q59" s="65"/>
      <c r="R59" s="65"/>
      <c r="S59" s="65"/>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row>
    <row r="60" spans="1:81" ht="15" customHeight="1" x14ac:dyDescent="0.25">
      <c r="A60" s="21"/>
      <c r="B60" s="97"/>
      <c r="C60" s="129"/>
      <c r="D60" s="130"/>
      <c r="E60" s="131"/>
      <c r="F60" s="131"/>
      <c r="G60" s="132"/>
      <c r="H60" s="103"/>
      <c r="I60"/>
      <c r="J60" s="15"/>
      <c r="K60" s="15"/>
      <c r="L60" s="65"/>
      <c r="M60" s="65"/>
      <c r="N60" s="65"/>
      <c r="O60" s="65"/>
      <c r="P60" s="65"/>
      <c r="Q60" s="65"/>
      <c r="R60" s="65"/>
      <c r="S60" s="65"/>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row>
    <row r="61" spans="1:81" ht="15" customHeight="1" x14ac:dyDescent="0.25">
      <c r="A61" s="21"/>
      <c r="B61" s="97"/>
      <c r="C61" s="125"/>
      <c r="D61" s="138"/>
      <c r="E61" s="127"/>
      <c r="F61" s="127"/>
      <c r="G61" s="128"/>
      <c r="H61" s="103"/>
      <c r="I61"/>
      <c r="J61" s="15"/>
      <c r="K61" s="15"/>
      <c r="L61" s="65"/>
      <c r="M61" s="65"/>
      <c r="N61" s="65"/>
      <c r="O61" s="65"/>
      <c r="P61" s="65"/>
      <c r="Q61" s="65"/>
      <c r="R61" s="65"/>
      <c r="S61" s="65"/>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row>
    <row r="62" spans="1:81" ht="15" customHeight="1" x14ac:dyDescent="0.25">
      <c r="A62" s="21"/>
      <c r="B62" s="97"/>
      <c r="C62" s="125"/>
      <c r="D62" s="126"/>
      <c r="E62" s="127"/>
      <c r="F62" s="127"/>
      <c r="G62" s="128"/>
      <c r="H62" s="103"/>
      <c r="I62"/>
      <c r="J62" s="15"/>
      <c r="K62" s="15"/>
      <c r="L62" s="65"/>
      <c r="M62" s="65"/>
      <c r="N62" s="65"/>
      <c r="O62" s="65"/>
      <c r="P62" s="65"/>
      <c r="Q62" s="65"/>
      <c r="R62" s="65"/>
      <c r="S62" s="65"/>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row>
    <row r="63" spans="1:81" ht="15" customHeight="1" x14ac:dyDescent="0.25">
      <c r="A63" s="21"/>
      <c r="B63" s="97"/>
      <c r="C63" s="125"/>
      <c r="D63" s="126"/>
      <c r="E63" s="127"/>
      <c r="F63" s="127"/>
      <c r="G63" s="128"/>
      <c r="H63" s="103"/>
      <c r="I63"/>
      <c r="J63" s="15"/>
      <c r="K63" s="15"/>
      <c r="L63" s="65"/>
      <c r="M63" s="65"/>
      <c r="N63" s="65"/>
      <c r="O63" s="65"/>
      <c r="P63" s="65"/>
      <c r="Q63" s="65"/>
      <c r="R63" s="65"/>
      <c r="S63" s="65"/>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row>
    <row r="64" spans="1:81" ht="15" customHeight="1" x14ac:dyDescent="0.25">
      <c r="A64" s="21"/>
      <c r="B64" s="97"/>
      <c r="C64" s="125"/>
      <c r="D64" s="126"/>
      <c r="E64" s="127"/>
      <c r="F64" s="127"/>
      <c r="G64" s="128"/>
      <c r="H64" s="103"/>
      <c r="I64"/>
      <c r="J64" s="15"/>
      <c r="K64" s="15"/>
      <c r="L64" s="65"/>
      <c r="M64" s="65"/>
      <c r="N64" s="65"/>
      <c r="O64" s="65"/>
      <c r="P64" s="65"/>
      <c r="Q64" s="65"/>
      <c r="R64" s="65"/>
      <c r="S64" s="65"/>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row>
    <row r="65" spans="1:81" ht="15" customHeight="1" x14ac:dyDescent="0.25">
      <c r="A65" s="21"/>
      <c r="B65" s="97"/>
      <c r="C65" s="125"/>
      <c r="D65" s="126"/>
      <c r="E65" s="127"/>
      <c r="F65" s="127"/>
      <c r="G65" s="128"/>
      <c r="H65" s="103"/>
      <c r="I65"/>
      <c r="J65" s="15"/>
      <c r="K65" s="15"/>
      <c r="L65" s="65"/>
      <c r="M65" s="65"/>
      <c r="N65" s="65"/>
      <c r="O65" s="65"/>
      <c r="P65" s="65"/>
      <c r="Q65" s="65"/>
      <c r="R65" s="65"/>
      <c r="S65" s="65"/>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row>
    <row r="66" spans="1:81" ht="15" customHeight="1" x14ac:dyDescent="0.25">
      <c r="A66" s="21"/>
      <c r="B66" s="97"/>
      <c r="C66" s="125"/>
      <c r="D66" s="126"/>
      <c r="E66" s="127"/>
      <c r="F66" s="127"/>
      <c r="G66" s="128"/>
      <c r="H66" s="102"/>
      <c r="I66" s="21"/>
      <c r="J66" s="14"/>
      <c r="K66" s="14"/>
      <c r="L66" s="65"/>
      <c r="M66" s="65"/>
      <c r="N66" s="65"/>
      <c r="O66" s="65"/>
      <c r="P66" s="65"/>
      <c r="Q66" s="65"/>
      <c r="R66" s="65"/>
      <c r="S66" s="65"/>
    </row>
    <row r="67" spans="1:81" ht="15" customHeight="1" x14ac:dyDescent="0.25">
      <c r="A67" s="21"/>
      <c r="B67" s="97"/>
      <c r="C67" s="125"/>
      <c r="D67" s="126"/>
      <c r="E67" s="127"/>
      <c r="F67" s="127"/>
      <c r="G67" s="128"/>
      <c r="H67" s="102"/>
      <c r="I67" s="21"/>
      <c r="J67" s="14"/>
      <c r="K67" s="14"/>
      <c r="L67" s="65"/>
      <c r="M67" s="65"/>
      <c r="N67" s="65"/>
      <c r="O67" s="65"/>
      <c r="P67" s="65"/>
      <c r="Q67" s="65"/>
      <c r="R67" s="65"/>
      <c r="S67" s="65"/>
    </row>
    <row r="68" spans="1:81" ht="15" customHeight="1" x14ac:dyDescent="0.25">
      <c r="A68" s="21"/>
      <c r="B68" s="97"/>
      <c r="C68" s="125"/>
      <c r="D68" s="126"/>
      <c r="E68" s="127"/>
      <c r="F68" s="127"/>
      <c r="G68" s="128"/>
      <c r="H68" s="102"/>
      <c r="I68" s="21"/>
      <c r="J68" s="14"/>
      <c r="K68" s="14"/>
      <c r="L68" s="65"/>
      <c r="M68" s="65"/>
      <c r="N68" s="65"/>
      <c r="O68" s="65"/>
      <c r="P68" s="65"/>
      <c r="Q68" s="65"/>
      <c r="R68" s="65"/>
      <c r="S68" s="65"/>
    </row>
    <row r="69" spans="1:81" ht="15" customHeight="1" x14ac:dyDescent="0.25">
      <c r="A69" s="21"/>
      <c r="B69" s="97"/>
      <c r="C69" s="125"/>
      <c r="D69" s="139"/>
      <c r="E69" s="131"/>
      <c r="F69" s="131"/>
      <c r="G69" s="132"/>
      <c r="H69" s="102"/>
      <c r="I69" s="21"/>
      <c r="J69" s="14"/>
      <c r="K69" s="14"/>
      <c r="L69" s="66"/>
      <c r="M69" s="66"/>
      <c r="N69" s="66"/>
      <c r="O69" s="66"/>
      <c r="P69" s="66"/>
      <c r="Q69" s="65"/>
      <c r="R69" s="65"/>
      <c r="S69" s="65"/>
    </row>
    <row r="70" spans="1:81" ht="15" customHeight="1" x14ac:dyDescent="0.25">
      <c r="A70" s="21"/>
      <c r="B70" s="97"/>
      <c r="C70" s="125"/>
      <c r="D70" s="139"/>
      <c r="E70" s="131"/>
      <c r="F70" s="131"/>
      <c r="G70" s="132"/>
      <c r="H70" s="102"/>
      <c r="I70" s="21"/>
      <c r="J70" s="14"/>
      <c r="K70" s="14"/>
      <c r="L70" s="66"/>
      <c r="M70" s="66"/>
      <c r="N70" s="66"/>
      <c r="O70" s="66"/>
      <c r="P70" s="66"/>
      <c r="Q70" s="65"/>
      <c r="R70" s="65"/>
      <c r="S70" s="65"/>
    </row>
    <row r="71" spans="1:81" ht="15" customHeight="1" x14ac:dyDescent="0.25">
      <c r="A71" s="21"/>
      <c r="B71" s="97"/>
      <c r="C71" s="125"/>
      <c r="D71" s="139"/>
      <c r="E71" s="131"/>
      <c r="F71" s="131"/>
      <c r="G71" s="132"/>
      <c r="H71" s="101"/>
      <c r="I71" s="21"/>
      <c r="J71" s="14"/>
      <c r="K71" s="14"/>
      <c r="L71" s="66"/>
      <c r="M71" s="66"/>
      <c r="N71" s="66"/>
      <c r="O71" s="66"/>
      <c r="P71" s="66"/>
      <c r="Q71" s="65"/>
      <c r="R71" s="65"/>
      <c r="S71" s="65"/>
    </row>
    <row r="72" spans="1:81" ht="15" customHeight="1" x14ac:dyDescent="0.25">
      <c r="A72" s="21"/>
      <c r="B72" s="97"/>
      <c r="C72" s="129"/>
      <c r="D72" s="130"/>
      <c r="E72" s="131"/>
      <c r="F72" s="131"/>
      <c r="G72" s="132"/>
      <c r="H72" s="101"/>
      <c r="I72" s="21"/>
      <c r="J72" s="14"/>
      <c r="K72" s="14"/>
      <c r="L72" s="66"/>
      <c r="M72" s="66"/>
      <c r="N72" s="66"/>
      <c r="O72" s="66"/>
      <c r="P72" s="66"/>
      <c r="Q72" s="65"/>
      <c r="R72" s="65"/>
      <c r="S72" s="65"/>
    </row>
    <row r="73" spans="1:81" ht="15" customHeight="1" x14ac:dyDescent="0.25">
      <c r="A73" s="21"/>
      <c r="B73" s="97"/>
      <c r="C73" s="129"/>
      <c r="D73" s="130"/>
      <c r="E73" s="131"/>
      <c r="F73" s="131"/>
      <c r="G73" s="132"/>
      <c r="H73" s="101"/>
      <c r="I73" s="21"/>
      <c r="J73" s="14"/>
      <c r="K73" s="14"/>
      <c r="L73" s="66"/>
      <c r="M73" s="66"/>
      <c r="N73" s="66"/>
      <c r="O73" s="66"/>
      <c r="P73" s="66"/>
      <c r="Q73" s="65"/>
      <c r="R73" s="65"/>
      <c r="S73" s="65"/>
    </row>
    <row r="74" spans="1:81" ht="15" customHeight="1" x14ac:dyDescent="0.25">
      <c r="A74" s="21"/>
      <c r="B74" s="97"/>
      <c r="C74" s="125"/>
      <c r="D74" s="130"/>
      <c r="E74" s="131"/>
      <c r="F74" s="131"/>
      <c r="G74" s="132"/>
      <c r="H74" s="102"/>
      <c r="I74" s="21"/>
      <c r="J74" s="14"/>
      <c r="K74" s="14"/>
      <c r="L74" s="66"/>
      <c r="M74" s="66"/>
      <c r="N74" s="66"/>
      <c r="O74" s="66"/>
      <c r="P74" s="66"/>
      <c r="Q74" s="65"/>
      <c r="R74" s="65"/>
      <c r="S74" s="65"/>
    </row>
    <row r="75" spans="1:81" ht="15" customHeight="1" x14ac:dyDescent="0.25">
      <c r="A75" s="21"/>
      <c r="B75" s="97"/>
      <c r="C75" s="129"/>
      <c r="D75" s="130"/>
      <c r="E75" s="131"/>
      <c r="F75" s="131"/>
      <c r="G75" s="132"/>
      <c r="H75" s="102"/>
      <c r="I75" s="21"/>
      <c r="J75" s="14"/>
      <c r="K75" s="14"/>
      <c r="L75" s="65"/>
      <c r="M75" s="65"/>
      <c r="N75" s="65"/>
      <c r="O75" s="65"/>
      <c r="P75" s="65"/>
      <c r="Q75" s="65"/>
      <c r="R75" s="65"/>
      <c r="S75" s="65"/>
    </row>
    <row r="76" spans="1:81" ht="15" customHeight="1" x14ac:dyDescent="0.25">
      <c r="A76" s="21"/>
      <c r="B76" s="97"/>
      <c r="C76" s="129"/>
      <c r="D76" s="130"/>
      <c r="E76" s="131"/>
      <c r="F76" s="131"/>
      <c r="G76" s="132"/>
      <c r="H76" s="101"/>
      <c r="I76" s="21"/>
      <c r="J76" s="14"/>
      <c r="K76" s="14"/>
      <c r="L76" s="65"/>
      <c r="M76" s="67"/>
      <c r="N76" s="65"/>
      <c r="O76" s="65"/>
      <c r="P76" s="65"/>
      <c r="Q76" s="65"/>
      <c r="R76" s="65"/>
      <c r="S76" s="65"/>
    </row>
    <row r="77" spans="1:81" ht="15" customHeight="1" x14ac:dyDescent="0.25">
      <c r="A77" s="21"/>
      <c r="B77" s="97"/>
      <c r="C77" s="129"/>
      <c r="D77" s="130"/>
      <c r="E77" s="131"/>
      <c r="F77" s="131"/>
      <c r="G77" s="132"/>
      <c r="H77" s="101"/>
      <c r="I77" s="21"/>
      <c r="J77" s="14"/>
      <c r="K77" s="14"/>
      <c r="L77" s="68"/>
      <c r="M77" s="65"/>
      <c r="N77" s="65"/>
      <c r="O77" s="65"/>
      <c r="P77" s="65"/>
      <c r="Q77" s="65"/>
      <c r="R77" s="65"/>
      <c r="S77" s="65"/>
    </row>
    <row r="78" spans="1:81" ht="15" customHeight="1" x14ac:dyDescent="0.25">
      <c r="A78" s="21"/>
      <c r="B78" s="97"/>
      <c r="C78" s="140"/>
      <c r="D78" s="130"/>
      <c r="E78" s="131"/>
      <c r="F78" s="131"/>
      <c r="G78" s="132"/>
      <c r="H78" s="101"/>
      <c r="I78" s="21"/>
      <c r="J78" s="14"/>
      <c r="K78" s="14"/>
      <c r="L78" s="65"/>
      <c r="M78" s="65"/>
      <c r="N78" s="65"/>
      <c r="O78" s="65"/>
      <c r="P78" s="65"/>
      <c r="Q78" s="65"/>
      <c r="R78" s="65"/>
      <c r="S78" s="65"/>
    </row>
    <row r="79" spans="1:81" ht="15" customHeight="1" x14ac:dyDescent="0.25">
      <c r="A79" s="21"/>
      <c r="B79" s="97"/>
      <c r="C79" s="141"/>
      <c r="D79" s="130"/>
      <c r="E79" s="131"/>
      <c r="F79" s="131"/>
      <c r="G79" s="132"/>
      <c r="H79" s="101"/>
      <c r="I79" s="21"/>
      <c r="J79" s="14"/>
      <c r="K79" s="14"/>
      <c r="L79" s="65"/>
      <c r="M79" s="65"/>
      <c r="N79" s="65"/>
      <c r="O79" s="65"/>
      <c r="P79" s="65"/>
      <c r="Q79" s="65"/>
      <c r="R79" s="65"/>
      <c r="S79" s="65"/>
    </row>
    <row r="80" spans="1:81" ht="15" customHeight="1" thickBot="1" x14ac:dyDescent="0.3">
      <c r="A80" s="21"/>
      <c r="B80" s="104"/>
      <c r="C80" s="110"/>
      <c r="D80" s="106"/>
      <c r="E80" s="107"/>
      <c r="F80" s="107"/>
      <c r="G80" s="109"/>
      <c r="H80" s="105"/>
      <c r="I80" s="21"/>
      <c r="J80" s="14"/>
      <c r="K80" s="14"/>
      <c r="L80" s="65"/>
      <c r="M80" s="65"/>
      <c r="N80" s="65"/>
      <c r="O80" s="65"/>
      <c r="P80" s="65"/>
      <c r="Q80" s="65"/>
      <c r="R80" s="65"/>
      <c r="S80" s="65"/>
    </row>
    <row r="81" spans="1:19" ht="15" customHeight="1" thickTop="1" x14ac:dyDescent="0.25">
      <c r="A81" s="21"/>
      <c r="B81" s="21"/>
      <c r="C81" s="21"/>
      <c r="D81" s="21"/>
      <c r="E81" s="29"/>
      <c r="F81" s="32"/>
      <c r="G81" s="32"/>
      <c r="H81" s="21"/>
      <c r="I81" s="21"/>
      <c r="J81" s="14"/>
      <c r="K81" s="14"/>
      <c r="L81" s="65"/>
      <c r="M81" s="65"/>
      <c r="N81" s="65"/>
      <c r="O81" s="65"/>
      <c r="P81" s="65"/>
      <c r="Q81" s="65"/>
      <c r="R81" s="65"/>
      <c r="S81" s="65"/>
    </row>
    <row r="82" spans="1:19" x14ac:dyDescent="0.25">
      <c r="J82" s="14"/>
      <c r="K82" s="14"/>
      <c r="L82" s="65"/>
      <c r="M82" s="65"/>
      <c r="N82" s="65"/>
      <c r="O82" s="65"/>
      <c r="P82" s="65"/>
      <c r="Q82" s="65"/>
      <c r="R82" s="65"/>
      <c r="S82" s="65"/>
    </row>
    <row r="83" spans="1:19" x14ac:dyDescent="0.25">
      <c r="F83" s="3"/>
      <c r="G83" s="3"/>
      <c r="J83" s="14"/>
      <c r="K83" s="14"/>
      <c r="L83" s="65"/>
      <c r="M83" s="65"/>
      <c r="N83" s="65"/>
      <c r="O83" s="65"/>
      <c r="P83" s="65"/>
      <c r="Q83" s="65"/>
      <c r="R83" s="65"/>
      <c r="S83" s="65"/>
    </row>
    <row r="84" spans="1:19" x14ac:dyDescent="0.25">
      <c r="J84" s="14"/>
      <c r="K84" s="14"/>
      <c r="L84" s="14"/>
      <c r="M84" s="14"/>
      <c r="N84" s="14"/>
      <c r="O84" s="14"/>
      <c r="P84" s="14"/>
      <c r="Q84" s="14"/>
      <c r="R84" s="14"/>
      <c r="S84" s="14"/>
    </row>
    <row r="85" spans="1:19" x14ac:dyDescent="0.25">
      <c r="J85" s="14"/>
      <c r="K85" s="14"/>
      <c r="L85" s="14"/>
      <c r="M85" s="14"/>
      <c r="N85" s="14"/>
      <c r="O85" s="14"/>
      <c r="P85" s="14"/>
      <c r="Q85" s="14"/>
      <c r="R85" s="14"/>
      <c r="S85" s="14"/>
    </row>
    <row r="86" spans="1:19" x14ac:dyDescent="0.25">
      <c r="J86" s="14"/>
      <c r="K86" s="14"/>
      <c r="L86" s="14"/>
      <c r="M86" s="14"/>
      <c r="N86" s="14"/>
      <c r="O86" s="14"/>
      <c r="P86" s="14"/>
      <c r="Q86" s="14"/>
      <c r="R86" s="14"/>
      <c r="S86" s="14"/>
    </row>
    <row r="87" spans="1:19" x14ac:dyDescent="0.25">
      <c r="J87" s="14"/>
      <c r="K87" s="14"/>
      <c r="L87" s="14"/>
      <c r="M87" s="14"/>
      <c r="N87" s="14"/>
      <c r="O87" s="14"/>
      <c r="P87" s="14"/>
      <c r="Q87" s="14"/>
      <c r="R87" s="14"/>
      <c r="S87" s="14"/>
    </row>
    <row r="88" spans="1:19" ht="15" x14ac:dyDescent="0.25">
      <c r="C88" s="69"/>
      <c r="J88" s="14"/>
      <c r="K88" s="14"/>
      <c r="L88" s="14"/>
      <c r="M88" s="14"/>
      <c r="N88" s="14"/>
      <c r="O88" s="14"/>
      <c r="P88" s="14"/>
      <c r="Q88" s="14"/>
      <c r="R88" s="14"/>
      <c r="S88" s="14"/>
    </row>
    <row r="89" spans="1:19" x14ac:dyDescent="0.25">
      <c r="J89" s="14"/>
      <c r="K89" s="14"/>
      <c r="L89" s="14"/>
      <c r="M89" s="14"/>
      <c r="N89" s="14"/>
      <c r="O89" s="14"/>
      <c r="P89" s="14"/>
      <c r="Q89" s="14"/>
      <c r="R89" s="14"/>
      <c r="S89" s="14"/>
    </row>
    <row r="90" spans="1:19" x14ac:dyDescent="0.25">
      <c r="J90" s="14"/>
      <c r="K90" s="14"/>
      <c r="L90" s="14"/>
      <c r="M90" s="14"/>
      <c r="N90" s="14"/>
      <c r="O90" s="14"/>
      <c r="P90" s="14"/>
      <c r="Q90" s="14"/>
      <c r="R90" s="14"/>
      <c r="S90" s="14"/>
    </row>
    <row r="91" spans="1:19" x14ac:dyDescent="0.25">
      <c r="J91" s="14"/>
      <c r="K91" s="14"/>
      <c r="L91" s="14"/>
      <c r="M91" s="14"/>
      <c r="N91" s="14"/>
      <c r="O91" s="14"/>
      <c r="P91" s="14"/>
      <c r="Q91" s="14"/>
      <c r="R91" s="14"/>
      <c r="S91" s="14"/>
    </row>
    <row r="92" spans="1:19" x14ac:dyDescent="0.25">
      <c r="J92" s="14"/>
      <c r="K92" s="14"/>
      <c r="L92" s="14"/>
      <c r="M92" s="14"/>
      <c r="N92" s="14"/>
      <c r="O92" s="14"/>
      <c r="P92" s="14"/>
      <c r="Q92" s="14"/>
      <c r="R92" s="14"/>
      <c r="S92" s="14"/>
    </row>
    <row r="93" spans="1:19" x14ac:dyDescent="0.25">
      <c r="J93" s="14"/>
      <c r="K93" s="14"/>
      <c r="L93" s="14"/>
      <c r="M93" s="14"/>
      <c r="N93" s="14"/>
      <c r="O93" s="14"/>
      <c r="P93" s="14"/>
      <c r="Q93" s="14"/>
      <c r="R93" s="14"/>
      <c r="S93" s="14"/>
    </row>
    <row r="94" spans="1:19" x14ac:dyDescent="0.25">
      <c r="J94" s="14"/>
      <c r="K94" s="14"/>
      <c r="L94" s="14"/>
      <c r="M94" s="14"/>
      <c r="N94" s="14"/>
      <c r="O94" s="14"/>
      <c r="P94" s="14"/>
      <c r="Q94" s="14"/>
      <c r="R94" s="14"/>
      <c r="S94" s="14"/>
    </row>
    <row r="95" spans="1:19" ht="15" x14ac:dyDescent="0.25">
      <c r="D95" s="4"/>
      <c r="J95" s="14"/>
      <c r="K95" s="14"/>
      <c r="L95" s="14"/>
      <c r="M95" s="14"/>
      <c r="N95" s="14"/>
      <c r="O95" s="14"/>
      <c r="P95" s="14"/>
      <c r="Q95" s="14"/>
      <c r="R95" s="14"/>
      <c r="S95" s="14"/>
    </row>
    <row r="96" spans="1:19" x14ac:dyDescent="0.25">
      <c r="J96" s="14"/>
      <c r="K96" s="14"/>
      <c r="L96" s="14"/>
      <c r="M96" s="14"/>
      <c r="N96" s="14"/>
      <c r="O96" s="14"/>
      <c r="P96" s="14"/>
      <c r="Q96" s="14"/>
      <c r="R96" s="14"/>
      <c r="S96" s="14"/>
    </row>
    <row r="97" spans="10:19" x14ac:dyDescent="0.25">
      <c r="J97" s="14"/>
      <c r="K97" s="14"/>
      <c r="L97" s="14"/>
      <c r="M97" s="14"/>
      <c r="N97" s="14"/>
      <c r="O97" s="14"/>
      <c r="P97" s="14"/>
      <c r="Q97" s="14"/>
      <c r="R97" s="14"/>
      <c r="S97" s="14"/>
    </row>
    <row r="98" spans="10:19" x14ac:dyDescent="0.25">
      <c r="J98" s="14"/>
      <c r="K98" s="14"/>
      <c r="L98" s="14"/>
      <c r="M98" s="14"/>
      <c r="N98" s="14"/>
      <c r="O98" s="14"/>
      <c r="P98" s="14"/>
      <c r="Q98" s="14"/>
      <c r="R98" s="14"/>
      <c r="S98" s="14"/>
    </row>
    <row r="99" spans="10:19" x14ac:dyDescent="0.25">
      <c r="J99" s="14"/>
      <c r="K99" s="14"/>
      <c r="L99" s="14"/>
      <c r="M99" s="14"/>
      <c r="N99" s="14"/>
      <c r="O99" s="14"/>
      <c r="P99" s="14"/>
      <c r="Q99" s="14"/>
      <c r="R99" s="14"/>
      <c r="S99" s="14"/>
    </row>
    <row r="100" spans="10:19" x14ac:dyDescent="0.25">
      <c r="J100" s="14"/>
      <c r="K100" s="14"/>
      <c r="L100" s="14"/>
      <c r="M100" s="14"/>
      <c r="N100" s="14"/>
      <c r="O100" s="14"/>
      <c r="P100" s="14"/>
      <c r="Q100" s="14"/>
      <c r="R100" s="14"/>
      <c r="S100" s="14"/>
    </row>
    <row r="101" spans="10:19" x14ac:dyDescent="0.25">
      <c r="J101" s="14"/>
      <c r="K101" s="14"/>
      <c r="L101" s="14"/>
      <c r="M101" s="14"/>
      <c r="N101" s="14"/>
      <c r="O101" s="14"/>
      <c r="P101" s="14"/>
      <c r="Q101" s="14"/>
      <c r="R101" s="14"/>
      <c r="S101" s="14"/>
    </row>
    <row r="102" spans="10:19" x14ac:dyDescent="0.25">
      <c r="J102" s="14"/>
      <c r="K102" s="14"/>
      <c r="L102" s="14"/>
      <c r="M102" s="14"/>
      <c r="N102" s="14"/>
      <c r="O102" s="14"/>
      <c r="P102" s="14"/>
      <c r="Q102" s="14"/>
      <c r="R102" s="14"/>
      <c r="S102" s="14"/>
    </row>
    <row r="103" spans="10:19" x14ac:dyDescent="0.25">
      <c r="J103" s="14"/>
      <c r="K103" s="14"/>
      <c r="L103" s="14"/>
      <c r="M103" s="14"/>
      <c r="N103" s="14"/>
      <c r="O103" s="14"/>
      <c r="P103" s="14"/>
      <c r="Q103" s="14"/>
      <c r="R103" s="14"/>
      <c r="S103" s="14"/>
    </row>
    <row r="104" spans="10:19" x14ac:dyDescent="0.25">
      <c r="J104" s="14"/>
      <c r="K104" s="14"/>
      <c r="L104" s="14"/>
      <c r="M104" s="14"/>
      <c r="N104" s="14"/>
      <c r="O104" s="14"/>
      <c r="P104" s="14"/>
      <c r="Q104" s="14"/>
      <c r="R104" s="14"/>
      <c r="S104" s="14"/>
    </row>
    <row r="105" spans="10:19" x14ac:dyDescent="0.25">
      <c r="J105" s="14"/>
      <c r="K105" s="14"/>
      <c r="L105" s="14"/>
      <c r="M105" s="14"/>
      <c r="N105" s="14"/>
      <c r="O105" s="14"/>
      <c r="P105" s="14"/>
      <c r="Q105" s="14"/>
      <c r="R105" s="14"/>
      <c r="S105" s="14"/>
    </row>
    <row r="106" spans="10:19" x14ac:dyDescent="0.25">
      <c r="J106" s="14"/>
      <c r="K106" s="14"/>
      <c r="L106" s="14"/>
      <c r="M106" s="14"/>
      <c r="N106" s="14"/>
      <c r="O106" s="14"/>
      <c r="P106" s="14"/>
      <c r="Q106" s="14"/>
      <c r="R106" s="14"/>
      <c r="S106" s="14"/>
    </row>
    <row r="107" spans="10:19" x14ac:dyDescent="0.25">
      <c r="J107" s="14"/>
      <c r="K107" s="14"/>
      <c r="L107" s="14"/>
      <c r="M107" s="14"/>
      <c r="N107" s="14"/>
      <c r="O107" s="14"/>
      <c r="P107" s="14"/>
      <c r="Q107" s="14"/>
      <c r="R107" s="14"/>
      <c r="S107" s="14"/>
    </row>
    <row r="108" spans="10:19" x14ac:dyDescent="0.25">
      <c r="J108" s="14"/>
      <c r="K108" s="14"/>
      <c r="L108" s="14"/>
      <c r="M108" s="14"/>
      <c r="N108" s="14"/>
      <c r="O108" s="14"/>
      <c r="P108" s="14"/>
      <c r="Q108" s="14"/>
      <c r="R108" s="14"/>
      <c r="S108" s="14"/>
    </row>
    <row r="109" spans="10:19" x14ac:dyDescent="0.25">
      <c r="J109" s="14"/>
      <c r="K109" s="14"/>
      <c r="L109" s="14"/>
      <c r="M109" s="14"/>
      <c r="N109" s="14"/>
      <c r="O109" s="14"/>
      <c r="P109" s="14"/>
      <c r="Q109" s="14"/>
      <c r="R109" s="14"/>
      <c r="S109" s="14"/>
    </row>
    <row r="110" spans="10:19" x14ac:dyDescent="0.25">
      <c r="J110" s="14"/>
      <c r="K110" s="14"/>
      <c r="L110" s="14"/>
      <c r="M110" s="14"/>
      <c r="N110" s="14"/>
      <c r="O110" s="14"/>
      <c r="P110" s="14"/>
      <c r="Q110" s="14"/>
      <c r="R110" s="14"/>
      <c r="S110" s="14"/>
    </row>
    <row r="111" spans="10:19" x14ac:dyDescent="0.25">
      <c r="J111" s="14"/>
      <c r="K111" s="14"/>
      <c r="L111" s="14"/>
      <c r="M111" s="14"/>
      <c r="N111" s="14"/>
      <c r="O111" s="14"/>
      <c r="P111" s="14"/>
      <c r="Q111" s="14"/>
      <c r="R111" s="14"/>
      <c r="S111" s="14"/>
    </row>
    <row r="112" spans="10:19" x14ac:dyDescent="0.25">
      <c r="J112" s="14"/>
      <c r="K112" s="14"/>
      <c r="L112" s="14"/>
      <c r="M112" s="14"/>
      <c r="N112" s="14"/>
      <c r="O112" s="14"/>
      <c r="P112" s="14"/>
      <c r="Q112" s="14"/>
      <c r="R112" s="14"/>
      <c r="S112" s="14"/>
    </row>
    <row r="113" spans="10:19" x14ac:dyDescent="0.25">
      <c r="J113" s="14"/>
      <c r="K113" s="14"/>
      <c r="L113" s="14"/>
      <c r="M113" s="14"/>
      <c r="N113" s="14"/>
      <c r="O113" s="14"/>
      <c r="P113" s="14"/>
      <c r="Q113" s="14"/>
      <c r="R113" s="14"/>
      <c r="S113" s="14"/>
    </row>
    <row r="114" spans="10:19" x14ac:dyDescent="0.25">
      <c r="J114" s="14"/>
      <c r="K114" s="14"/>
      <c r="L114" s="14"/>
      <c r="M114" s="14"/>
      <c r="N114" s="14"/>
      <c r="O114" s="14"/>
      <c r="P114" s="14"/>
      <c r="Q114" s="14"/>
      <c r="R114" s="14"/>
      <c r="S114" s="14"/>
    </row>
    <row r="115" spans="10:19" x14ac:dyDescent="0.25">
      <c r="J115" s="14"/>
      <c r="K115" s="14"/>
      <c r="L115" s="14"/>
      <c r="M115" s="14"/>
      <c r="N115" s="14"/>
      <c r="O115" s="14"/>
      <c r="P115" s="14"/>
      <c r="Q115" s="14"/>
      <c r="R115" s="14"/>
      <c r="S115" s="14"/>
    </row>
    <row r="116" spans="10:19" x14ac:dyDescent="0.25">
      <c r="J116" s="14"/>
      <c r="K116" s="14"/>
      <c r="L116" s="14"/>
      <c r="M116" s="14"/>
      <c r="N116" s="14"/>
      <c r="O116" s="14"/>
      <c r="P116" s="14"/>
      <c r="Q116" s="14"/>
      <c r="R116" s="14"/>
      <c r="S116" s="14"/>
    </row>
    <row r="117" spans="10:19" x14ac:dyDescent="0.25">
      <c r="J117" s="14"/>
      <c r="K117" s="14"/>
      <c r="L117" s="14"/>
      <c r="M117" s="14"/>
      <c r="N117" s="14"/>
      <c r="O117" s="14"/>
      <c r="P117" s="14"/>
      <c r="Q117" s="14"/>
      <c r="R117" s="14"/>
      <c r="S117" s="14"/>
    </row>
    <row r="118" spans="10:19" x14ac:dyDescent="0.25">
      <c r="J118" s="14"/>
      <c r="K118" s="14"/>
      <c r="L118" s="14"/>
      <c r="M118" s="14"/>
      <c r="N118" s="14"/>
      <c r="O118" s="14"/>
      <c r="P118" s="14"/>
      <c r="Q118" s="14"/>
      <c r="R118" s="14"/>
      <c r="S118" s="14"/>
    </row>
    <row r="129" s="1" customFormat="1" x14ac:dyDescent="0.25"/>
    <row r="130" s="1" customFormat="1" x14ac:dyDescent="0.25"/>
    <row r="131" s="1" customFormat="1" x14ac:dyDescent="0.25"/>
    <row r="132" s="1" customFormat="1" x14ac:dyDescent="0.25"/>
    <row r="133" s="1" customFormat="1" x14ac:dyDescent="0.25"/>
    <row r="134" s="1" customFormat="1" x14ac:dyDescent="0.25"/>
    <row r="135" s="1" customFormat="1" x14ac:dyDescent="0.25"/>
    <row r="136" s="1" customFormat="1" x14ac:dyDescent="0.25"/>
    <row r="137" s="1" customFormat="1" x14ac:dyDescent="0.25"/>
    <row r="138" s="1" customFormat="1" x14ac:dyDescent="0.25"/>
    <row r="139" s="1" customFormat="1" x14ac:dyDescent="0.25"/>
    <row r="140" s="1" customFormat="1" x14ac:dyDescent="0.25"/>
    <row r="141" s="1" customFormat="1" x14ac:dyDescent="0.25"/>
    <row r="142" s="1" customFormat="1" x14ac:dyDescent="0.25"/>
    <row r="143" s="1" customFormat="1" x14ac:dyDescent="0.25"/>
    <row r="144" s="1" customFormat="1" x14ac:dyDescent="0.25"/>
    <row r="145" s="1" customFormat="1" x14ac:dyDescent="0.25"/>
    <row r="146" s="1" customFormat="1" x14ac:dyDescent="0.25"/>
    <row r="147" s="1" customFormat="1" x14ac:dyDescent="0.25"/>
    <row r="148" s="1" customFormat="1" x14ac:dyDescent="0.25"/>
    <row r="149" s="1" customFormat="1" x14ac:dyDescent="0.25"/>
    <row r="150" s="1" customFormat="1" x14ac:dyDescent="0.25"/>
    <row r="151" s="1" customFormat="1" x14ac:dyDescent="0.25"/>
    <row r="152" s="1" customFormat="1" x14ac:dyDescent="0.25"/>
    <row r="153" s="1" customFormat="1" x14ac:dyDescent="0.25"/>
    <row r="154" s="1" customFormat="1" x14ac:dyDescent="0.25"/>
    <row r="155" s="1" customFormat="1" x14ac:dyDescent="0.25"/>
    <row r="156" s="1" customFormat="1" x14ac:dyDescent="0.25"/>
    <row r="157" s="1" customFormat="1" x14ac:dyDescent="0.25"/>
    <row r="158" s="1" customFormat="1" x14ac:dyDescent="0.25"/>
    <row r="159" s="1" customFormat="1" x14ac:dyDescent="0.25"/>
    <row r="160" s="1" customFormat="1" x14ac:dyDescent="0.25"/>
    <row r="161" s="1" customFormat="1" x14ac:dyDescent="0.25"/>
    <row r="162" s="1" customFormat="1" x14ac:dyDescent="0.25"/>
    <row r="163" s="1" customFormat="1" x14ac:dyDescent="0.25"/>
    <row r="164" s="1" customFormat="1" x14ac:dyDescent="0.25"/>
    <row r="165" s="1" customFormat="1" x14ac:dyDescent="0.25"/>
    <row r="166" s="1" customFormat="1" x14ac:dyDescent="0.25"/>
    <row r="167" s="1" customFormat="1" x14ac:dyDescent="0.25"/>
    <row r="168" s="1" customFormat="1" x14ac:dyDescent="0.25"/>
    <row r="169" s="1" customFormat="1" x14ac:dyDescent="0.25"/>
    <row r="170" s="1" customFormat="1" x14ac:dyDescent="0.25"/>
    <row r="171" s="1" customFormat="1" x14ac:dyDescent="0.25"/>
    <row r="172" s="1" customFormat="1" x14ac:dyDescent="0.25"/>
    <row r="173" s="1" customFormat="1" x14ac:dyDescent="0.25"/>
    <row r="174" s="1" customFormat="1" x14ac:dyDescent="0.25"/>
    <row r="175" s="1" customFormat="1" x14ac:dyDescent="0.25"/>
    <row r="176" s="1" customFormat="1" x14ac:dyDescent="0.25"/>
    <row r="177" s="1" customFormat="1" x14ac:dyDescent="0.25"/>
    <row r="178" s="1" customFormat="1" x14ac:dyDescent="0.25"/>
    <row r="179" s="1" customFormat="1" x14ac:dyDescent="0.25"/>
    <row r="180" s="1" customFormat="1" x14ac:dyDescent="0.25"/>
    <row r="181" s="1" customFormat="1" x14ac:dyDescent="0.25"/>
    <row r="182" s="1" customFormat="1" x14ac:dyDescent="0.25"/>
    <row r="183" s="1" customFormat="1" x14ac:dyDescent="0.25"/>
    <row r="184" s="1" customFormat="1" x14ac:dyDescent="0.25"/>
    <row r="185" s="1" customFormat="1" x14ac:dyDescent="0.25"/>
    <row r="186" s="1" customFormat="1" x14ac:dyDescent="0.25"/>
    <row r="187" s="1" customFormat="1" x14ac:dyDescent="0.25"/>
    <row r="188" s="1" customFormat="1" x14ac:dyDescent="0.25"/>
    <row r="189" s="1" customFormat="1" x14ac:dyDescent="0.25"/>
    <row r="190" s="1" customFormat="1" x14ac:dyDescent="0.25"/>
    <row r="191" s="1" customFormat="1" x14ac:dyDescent="0.25"/>
    <row r="192" s="1" customFormat="1" x14ac:dyDescent="0.25"/>
    <row r="193" s="1" customFormat="1" x14ac:dyDescent="0.25"/>
    <row r="194" s="1" customFormat="1" x14ac:dyDescent="0.25"/>
    <row r="195" s="1" customFormat="1" x14ac:dyDescent="0.25"/>
    <row r="196" s="1" customFormat="1" x14ac:dyDescent="0.25"/>
    <row r="197" s="1" customFormat="1" x14ac:dyDescent="0.25"/>
    <row r="198" s="1" customFormat="1" x14ac:dyDescent="0.25"/>
    <row r="199" s="1" customFormat="1" x14ac:dyDescent="0.25"/>
    <row r="200" s="1" customFormat="1" x14ac:dyDescent="0.25"/>
    <row r="201" s="1" customFormat="1" x14ac:dyDescent="0.25"/>
    <row r="202" s="1" customFormat="1" x14ac:dyDescent="0.25"/>
    <row r="203" s="1" customFormat="1" x14ac:dyDescent="0.25"/>
    <row r="204" s="1" customFormat="1" x14ac:dyDescent="0.25"/>
    <row r="205" s="1" customFormat="1" x14ac:dyDescent="0.25"/>
    <row r="206" s="1" customFormat="1" x14ac:dyDescent="0.25"/>
    <row r="207" s="1" customFormat="1" x14ac:dyDescent="0.25"/>
    <row r="208" s="1" customFormat="1" x14ac:dyDescent="0.25"/>
    <row r="209" s="1" customFormat="1" x14ac:dyDescent="0.25"/>
    <row r="210" s="1" customFormat="1" x14ac:dyDescent="0.25"/>
    <row r="211" s="1" customFormat="1" x14ac:dyDescent="0.25"/>
    <row r="212" s="1" customFormat="1" x14ac:dyDescent="0.25"/>
    <row r="213" s="1" customFormat="1" x14ac:dyDescent="0.25"/>
    <row r="214" s="1" customFormat="1" x14ac:dyDescent="0.25"/>
    <row r="215" s="1" customFormat="1" x14ac:dyDescent="0.25"/>
    <row r="216" s="1" customFormat="1" x14ac:dyDescent="0.25"/>
    <row r="217" s="1" customFormat="1" x14ac:dyDescent="0.25"/>
    <row r="218" s="1" customFormat="1" x14ac:dyDescent="0.25"/>
    <row r="219" s="1" customFormat="1" x14ac:dyDescent="0.25"/>
    <row r="220" s="1" customFormat="1" x14ac:dyDescent="0.25"/>
    <row r="221" s="1" customFormat="1" x14ac:dyDescent="0.25"/>
    <row r="222" s="1" customFormat="1" x14ac:dyDescent="0.25"/>
    <row r="223" s="1" customFormat="1" x14ac:dyDescent="0.25"/>
    <row r="224" s="1" customFormat="1" x14ac:dyDescent="0.25"/>
    <row r="225" s="1" customFormat="1" x14ac:dyDescent="0.25"/>
    <row r="226" s="1" customFormat="1" x14ac:dyDescent="0.25"/>
    <row r="227" s="1" customFormat="1" x14ac:dyDescent="0.25"/>
    <row r="228" s="1" customFormat="1" x14ac:dyDescent="0.25"/>
    <row r="229" s="1" customFormat="1" x14ac:dyDescent="0.25"/>
    <row r="230" s="1" customFormat="1" x14ac:dyDescent="0.25"/>
    <row r="231" s="1" customFormat="1" x14ac:dyDescent="0.25"/>
    <row r="232" s="1" customFormat="1" x14ac:dyDescent="0.25"/>
    <row r="233" s="1" customFormat="1" x14ac:dyDescent="0.25"/>
    <row r="234" s="1" customFormat="1" x14ac:dyDescent="0.25"/>
    <row r="235" s="1" customFormat="1" x14ac:dyDescent="0.25"/>
    <row r="236" s="1" customFormat="1" x14ac:dyDescent="0.25"/>
    <row r="237" s="1" customFormat="1" x14ac:dyDescent="0.25"/>
    <row r="238" s="1" customFormat="1" x14ac:dyDescent="0.25"/>
    <row r="239" s="1" customFormat="1" x14ac:dyDescent="0.25"/>
    <row r="240" s="1" customFormat="1" x14ac:dyDescent="0.25"/>
    <row r="241" s="1" customFormat="1" x14ac:dyDescent="0.25"/>
    <row r="242" s="1" customFormat="1" x14ac:dyDescent="0.25"/>
    <row r="243" s="1" customFormat="1" x14ac:dyDescent="0.25"/>
    <row r="244" s="1" customFormat="1" x14ac:dyDescent="0.25"/>
    <row r="245" s="1" customFormat="1" x14ac:dyDescent="0.25"/>
    <row r="246" s="1" customFormat="1" x14ac:dyDescent="0.25"/>
    <row r="247" s="1" customFormat="1" x14ac:dyDescent="0.25"/>
    <row r="248" s="1" customFormat="1" x14ac:dyDescent="0.25"/>
    <row r="249" s="1" customFormat="1" x14ac:dyDescent="0.25"/>
    <row r="250" s="1" customFormat="1" x14ac:dyDescent="0.25"/>
    <row r="251" s="1" customFormat="1" x14ac:dyDescent="0.25"/>
    <row r="252" s="1" customFormat="1" x14ac:dyDescent="0.25"/>
    <row r="253" s="1" customFormat="1" x14ac:dyDescent="0.25"/>
    <row r="254" s="1" customFormat="1" x14ac:dyDescent="0.25"/>
    <row r="255" s="1" customFormat="1" x14ac:dyDescent="0.25"/>
    <row r="256" s="1" customFormat="1" x14ac:dyDescent="0.25"/>
    <row r="257" s="1" customFormat="1" x14ac:dyDescent="0.25"/>
    <row r="258" s="1" customFormat="1" x14ac:dyDescent="0.25"/>
    <row r="259" s="1" customFormat="1" x14ac:dyDescent="0.25"/>
    <row r="260" s="1" customFormat="1" x14ac:dyDescent="0.25"/>
    <row r="261" s="1" customFormat="1" x14ac:dyDescent="0.25"/>
    <row r="262" s="1" customFormat="1" x14ac:dyDescent="0.25"/>
    <row r="263" s="1" customFormat="1" x14ac:dyDescent="0.25"/>
    <row r="264" s="1" customFormat="1" x14ac:dyDescent="0.25"/>
    <row r="265" s="1" customFormat="1" x14ac:dyDescent="0.25"/>
    <row r="266" s="1" customFormat="1" x14ac:dyDescent="0.25"/>
    <row r="267" s="1" customFormat="1" x14ac:dyDescent="0.25"/>
    <row r="268" s="1" customFormat="1" x14ac:dyDescent="0.25"/>
    <row r="269" s="1" customFormat="1" x14ac:dyDescent="0.25"/>
    <row r="270" s="1" customFormat="1" x14ac:dyDescent="0.25"/>
    <row r="271" s="1" customFormat="1" x14ac:dyDescent="0.25"/>
    <row r="272" s="1" customFormat="1" x14ac:dyDescent="0.25"/>
    <row r="273" s="1" customFormat="1" x14ac:dyDescent="0.25"/>
    <row r="274" s="1" customFormat="1" x14ac:dyDescent="0.25"/>
    <row r="275" s="1" customFormat="1" x14ac:dyDescent="0.25"/>
    <row r="276" s="1" customFormat="1" x14ac:dyDescent="0.25"/>
    <row r="277" s="1" customFormat="1" x14ac:dyDescent="0.25"/>
  </sheetData>
  <sheetProtection selectLockedCells="1"/>
  <protectedRanges>
    <protectedRange sqref="L16 L54:L55" name="Lhůta provedení"/>
    <protectedRange sqref="C47:F52" name="Materiál"/>
    <protectedRange sqref="C16:D16" name="StavbaTermín"/>
    <protectedRange sqref="G4" name="Podklad"/>
    <protectedRange sqref="D6:D10" name="Objednatel"/>
    <protectedRange sqref="C78" name="Telefon"/>
    <protectedRange sqref="C57:C58" name="StavebniPripravenost"/>
    <protectedRange sqref="C20:F42" name="Činnost_1"/>
  </protectedRanges>
  <autoFilter ref="C13:G79" xr:uid="{55B46C5D-ADAB-42AE-98A3-057215BA7B09}"/>
  <mergeCells count="10">
    <mergeCell ref="B10:C10"/>
    <mergeCell ref="B8:C8"/>
    <mergeCell ref="B9:C9"/>
    <mergeCell ref="B6:C6"/>
    <mergeCell ref="B7:C7"/>
    <mergeCell ref="B2:D4"/>
    <mergeCell ref="E2:F2"/>
    <mergeCell ref="E3:F3"/>
    <mergeCell ref="E4:G4"/>
    <mergeCell ref="B5:C5"/>
  </mergeCells>
  <printOptions horizontalCentered="1" verticalCentered="1"/>
  <pageMargins left="0.23622047244094491" right="0.23622047244094491" top="0.19685039370078741" bottom="0.19685039370078741" header="0.31496062992125984" footer="0.31496062992125984"/>
  <pageSetup paperSize="9" scale="11" orientation="portrait" r:id="rId1"/>
  <headerFooter alignWithMargins="0"/>
  <ignoredErrors>
    <ignoredError sqref="D14" unlockedFormula="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30374B-F4AC-47B3-BDD8-D1E4FC9129EC}">
  <sheetPr codeName="Sheet4"/>
  <dimension ref="A1:F2"/>
  <sheetViews>
    <sheetView workbookViewId="0">
      <selection activeCell="B3" sqref="B3"/>
    </sheetView>
  </sheetViews>
  <sheetFormatPr defaultRowHeight="15" x14ac:dyDescent="0.25"/>
  <cols>
    <col min="1" max="1" width="5.7109375" bestFit="1" customWidth="1"/>
    <col min="2" max="2" width="6.140625" bestFit="1" customWidth="1"/>
    <col min="3" max="3" width="12" bestFit="1" customWidth="1"/>
  </cols>
  <sheetData>
    <row r="1" spans="1:6" x14ac:dyDescent="0.25">
      <c r="A1" t="s">
        <v>105</v>
      </c>
      <c r="B1" t="s">
        <v>106</v>
      </c>
      <c r="C1" t="s">
        <v>107</v>
      </c>
    </row>
    <row r="2" spans="1:6" x14ac:dyDescent="0.25">
      <c r="A2">
        <v>1</v>
      </c>
      <c r="B2">
        <v>1.1000000000000001</v>
      </c>
      <c r="C2">
        <f>(A2/B2)*100</f>
        <v>90.909090909090907</v>
      </c>
      <c r="F2" t="s">
        <v>108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7366</TotalTime>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Offer</vt:lpstr>
      <vt:lpstr>Invoice</vt:lpstr>
      <vt:lpstr>Issued</vt:lpstr>
      <vt:lpstr>Temp</vt:lpstr>
      <vt:lpstr>Offer!Print_Area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Michal Kopl</dc:creator>
  <cp:lastModifiedBy>Michal Kopl</cp:lastModifiedBy>
  <cp:revision>209</cp:revision>
  <cp:lastPrinted>2023-05-28T07:25:14Z</cp:lastPrinted>
  <dcterms:created xsi:type="dcterms:W3CDTF">2010-08-10T11:35:37Z</dcterms:created>
  <dcterms:modified xsi:type="dcterms:W3CDTF">2023-05-28T07:30:19Z</dcterms:modified>
</cp:coreProperties>
</file>