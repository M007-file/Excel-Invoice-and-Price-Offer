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921e613bb5a70c0/Documents/_Jáudělám/Cenová nabídka/"/>
    </mc:Choice>
  </mc:AlternateContent>
  <xr:revisionPtr revIDLastSave="47" documentId="8_{C938E00A-14C4-4EEE-A41B-9876C158B544}" xr6:coauthVersionLast="47" xr6:coauthVersionMax="47" xr10:uidLastSave="{6041D3DD-DD7C-498A-83A7-39B13E9D7B7B}"/>
  <bookViews>
    <workbookView xWindow="-120" yWindow="-120" windowWidth="38640" windowHeight="21120" xr2:uid="{00000000-000D-0000-FFFF-FFFF00000000}"/>
  </bookViews>
  <sheets>
    <sheet name="Nabídka" sheetId="1" r:id="rId1"/>
    <sheet name="Zálohová Faktura" sheetId="6" r:id="rId2"/>
    <sheet name="Faktura" sheetId="2" r:id="rId3"/>
    <sheet name="Vystavené" sheetId="3" r:id="rId4"/>
  </sheets>
  <functionGroups builtInGroupCount="19"/>
  <definedNames>
    <definedName name="_xlnm._FilterDatabase" localSheetId="3" hidden="1">Vystavené!$C$13:$G$79</definedName>
    <definedName name="_xlnm.Print_Area" localSheetId="0">Nabídka!$A$1:$I$81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3" l="1"/>
  <c r="B5" i="1"/>
  <c r="K13" i="3"/>
  <c r="B9" i="1"/>
  <c r="D24" i="3"/>
  <c r="B10" i="3"/>
  <c r="F58" i="1"/>
  <c r="B10" i="1"/>
  <c r="D10" i="1"/>
  <c r="D23" i="3"/>
  <c r="D22" i="3"/>
  <c r="U13" i="1"/>
  <c r="L10" i="1"/>
  <c r="D9" i="1" s="1"/>
  <c r="B2" i="3"/>
  <c r="D21" i="3"/>
  <c r="D20" i="3"/>
  <c r="D19" i="3"/>
  <c r="D18" i="3"/>
  <c r="D17" i="3"/>
  <c r="C79" i="6"/>
  <c r="C77" i="6"/>
  <c r="G52" i="6"/>
  <c r="F52" i="6"/>
  <c r="E52" i="6"/>
  <c r="D52" i="6"/>
  <c r="C52" i="6"/>
  <c r="G51" i="6"/>
  <c r="F51" i="6"/>
  <c r="E51" i="6"/>
  <c r="D51" i="6"/>
  <c r="C51" i="6"/>
  <c r="G50" i="6"/>
  <c r="F50" i="6"/>
  <c r="E50" i="6"/>
  <c r="D50" i="6"/>
  <c r="C50" i="6"/>
  <c r="G49" i="6"/>
  <c r="F49" i="6"/>
  <c r="E49" i="6"/>
  <c r="D49" i="6"/>
  <c r="C49" i="6"/>
  <c r="G48" i="6"/>
  <c r="F48" i="6"/>
  <c r="E48" i="6"/>
  <c r="D48" i="6"/>
  <c r="C48" i="6"/>
  <c r="G47" i="6"/>
  <c r="F47" i="6"/>
  <c r="E47" i="6"/>
  <c r="D47" i="6"/>
  <c r="C47" i="6"/>
  <c r="G42" i="6"/>
  <c r="F42" i="6"/>
  <c r="E42" i="6"/>
  <c r="D42" i="6"/>
  <c r="C42" i="6"/>
  <c r="G41" i="6"/>
  <c r="F41" i="6"/>
  <c r="E41" i="6"/>
  <c r="D41" i="6"/>
  <c r="C41" i="6"/>
  <c r="G40" i="6"/>
  <c r="F40" i="6"/>
  <c r="E40" i="6"/>
  <c r="D40" i="6"/>
  <c r="C40" i="6"/>
  <c r="G39" i="6"/>
  <c r="F39" i="6"/>
  <c r="E39" i="6"/>
  <c r="D39" i="6"/>
  <c r="C39" i="6"/>
  <c r="G38" i="6"/>
  <c r="F38" i="6"/>
  <c r="E38" i="6"/>
  <c r="D38" i="6"/>
  <c r="C38" i="6"/>
  <c r="G37" i="6"/>
  <c r="F37" i="6"/>
  <c r="E37" i="6"/>
  <c r="D37" i="6"/>
  <c r="C37" i="6"/>
  <c r="G36" i="6"/>
  <c r="F36" i="6"/>
  <c r="E36" i="6"/>
  <c r="D36" i="6"/>
  <c r="C36" i="6"/>
  <c r="G35" i="6"/>
  <c r="F35" i="6"/>
  <c r="E35" i="6"/>
  <c r="D35" i="6"/>
  <c r="C35" i="6"/>
  <c r="G34" i="6"/>
  <c r="F34" i="6"/>
  <c r="E34" i="6"/>
  <c r="D34" i="6"/>
  <c r="C34" i="6"/>
  <c r="G33" i="6"/>
  <c r="F33" i="6"/>
  <c r="E33" i="6"/>
  <c r="D33" i="6"/>
  <c r="C33" i="6"/>
  <c r="G32" i="6"/>
  <c r="F32" i="6"/>
  <c r="E32" i="6"/>
  <c r="D32" i="6"/>
  <c r="C32" i="6"/>
  <c r="G31" i="6"/>
  <c r="F31" i="6"/>
  <c r="E31" i="6"/>
  <c r="D31" i="6"/>
  <c r="C31" i="6"/>
  <c r="G30" i="6"/>
  <c r="F30" i="6"/>
  <c r="E30" i="6"/>
  <c r="D30" i="6"/>
  <c r="C30" i="6"/>
  <c r="G29" i="6"/>
  <c r="F29" i="6"/>
  <c r="E29" i="6"/>
  <c r="D29" i="6"/>
  <c r="C29" i="6"/>
  <c r="G28" i="6"/>
  <c r="F28" i="6"/>
  <c r="E28" i="6"/>
  <c r="D28" i="6"/>
  <c r="C28" i="6"/>
  <c r="G27" i="6"/>
  <c r="F27" i="6"/>
  <c r="E27" i="6"/>
  <c r="D27" i="6"/>
  <c r="C27" i="6"/>
  <c r="G26" i="6"/>
  <c r="F26" i="6"/>
  <c r="E26" i="6"/>
  <c r="D26" i="6"/>
  <c r="C26" i="6"/>
  <c r="G25" i="6"/>
  <c r="F25" i="6"/>
  <c r="E25" i="6"/>
  <c r="D25" i="6"/>
  <c r="C25" i="6"/>
  <c r="G24" i="6"/>
  <c r="F24" i="6"/>
  <c r="E24" i="6"/>
  <c r="D24" i="6"/>
  <c r="C24" i="6"/>
  <c r="G23" i="6"/>
  <c r="F23" i="6"/>
  <c r="E23" i="6"/>
  <c r="D23" i="6"/>
  <c r="C23" i="6"/>
  <c r="G22" i="6"/>
  <c r="F22" i="6"/>
  <c r="E22" i="6"/>
  <c r="D22" i="6"/>
  <c r="C22" i="6"/>
  <c r="G21" i="6"/>
  <c r="F21" i="6"/>
  <c r="E21" i="6"/>
  <c r="D21" i="6"/>
  <c r="C21" i="6"/>
  <c r="G20" i="6"/>
  <c r="F20" i="6"/>
  <c r="E20" i="6"/>
  <c r="D20" i="6"/>
  <c r="C20" i="6"/>
  <c r="E16" i="6"/>
  <c r="B10" i="6"/>
  <c r="B9" i="6"/>
  <c r="B7" i="6"/>
  <c r="B6" i="6"/>
  <c r="D5" i="6"/>
  <c r="B5" i="6"/>
  <c r="E4" i="6"/>
  <c r="M3" i="6"/>
  <c r="C58" i="1"/>
  <c r="C57" i="1"/>
  <c r="C16" i="1"/>
  <c r="C16" i="6" s="1"/>
  <c r="D16" i="3"/>
  <c r="D15" i="3"/>
  <c r="D14" i="3"/>
  <c r="Q10" i="1"/>
  <c r="B8" i="1" s="1"/>
  <c r="E16" i="2"/>
  <c r="E16" i="1"/>
  <c r="G2" i="1"/>
  <c r="G2" i="2" s="1"/>
  <c r="B5" i="3"/>
  <c r="B5" i="2"/>
  <c r="E4" i="2"/>
  <c r="E4" i="1"/>
  <c r="D5" i="2"/>
  <c r="D5" i="1"/>
  <c r="B8" i="3" l="1"/>
  <c r="B2" i="6" a="1"/>
  <c r="B2" i="6" s="1"/>
  <c r="C78" i="6"/>
  <c r="B8" i="6"/>
  <c r="G2" i="6"/>
  <c r="G3" i="6"/>
  <c r="B8" i="2"/>
  <c r="E21" i="2"/>
  <c r="G3" i="3"/>
  <c r="G2" i="3"/>
  <c r="G7" i="3"/>
  <c r="F7" i="3"/>
  <c r="B9" i="3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20" i="2"/>
  <c r="E20" i="2"/>
  <c r="F20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20" i="2"/>
  <c r="F47" i="2"/>
  <c r="F48" i="2"/>
  <c r="F49" i="2"/>
  <c r="F50" i="2"/>
  <c r="F51" i="2"/>
  <c r="F52" i="2"/>
  <c r="E47" i="2"/>
  <c r="E48" i="2"/>
  <c r="E49" i="2"/>
  <c r="E50" i="2"/>
  <c r="E51" i="2"/>
  <c r="E52" i="2"/>
  <c r="D47" i="2"/>
  <c r="D48" i="2"/>
  <c r="D50" i="2"/>
  <c r="D51" i="2"/>
  <c r="D52" i="2"/>
  <c r="D49" i="2"/>
  <c r="C50" i="2"/>
  <c r="C51" i="2"/>
  <c r="C52" i="2"/>
  <c r="C47" i="2"/>
  <c r="C48" i="2"/>
  <c r="C49" i="2"/>
  <c r="G49" i="2"/>
  <c r="G50" i="2"/>
  <c r="G51" i="2"/>
  <c r="G52" i="2"/>
  <c r="G47" i="2"/>
  <c r="G48" i="2"/>
  <c r="C79" i="2"/>
  <c r="C77" i="2"/>
  <c r="B10" i="2"/>
  <c r="B9" i="2"/>
  <c r="B7" i="2"/>
  <c r="B6" i="2"/>
  <c r="B7" i="3"/>
  <c r="B6" i="3"/>
  <c r="B2" i="2" l="1" a="1"/>
  <c r="B2" i="2" s="1"/>
  <c r="C78" i="2"/>
  <c r="C16" i="2"/>
  <c r="G22" i="1"/>
  <c r="G25" i="1"/>
  <c r="G41" i="1"/>
  <c r="G38" i="1"/>
  <c r="G33" i="1"/>
  <c r="G32" i="1"/>
  <c r="G40" i="1"/>
  <c r="G36" i="1"/>
  <c r="G42" i="1"/>
  <c r="B7" i="1"/>
  <c r="B6" i="1"/>
  <c r="D8" i="1"/>
  <c r="D7" i="1"/>
  <c r="D6" i="1"/>
  <c r="C79" i="1"/>
  <c r="C77" i="1"/>
  <c r="G34" i="1"/>
  <c r="G23" i="1"/>
  <c r="D7" i="2" l="1"/>
  <c r="D7" i="6"/>
  <c r="D10" i="2"/>
  <c r="D10" i="6"/>
  <c r="D6" i="2"/>
  <c r="D6" i="6"/>
  <c r="D8" i="2"/>
  <c r="D8" i="6"/>
  <c r="D9" i="2"/>
  <c r="D9" i="6"/>
  <c r="G3" i="1"/>
  <c r="C78" i="1"/>
  <c r="G51" i="1"/>
  <c r="G20" i="1"/>
  <c r="G30" i="1"/>
  <c r="G24" i="1"/>
  <c r="G27" i="1"/>
  <c r="G47" i="1"/>
  <c r="G50" i="1"/>
  <c r="G52" i="1"/>
  <c r="G48" i="1"/>
  <c r="G49" i="1"/>
  <c r="G31" i="1"/>
  <c r="G37" i="1"/>
  <c r="G35" i="1"/>
  <c r="G21" i="1"/>
  <c r="G39" i="1"/>
  <c r="G26" i="1"/>
  <c r="G29" i="1"/>
  <c r="G28" i="1"/>
  <c r="G53" i="6" l="1"/>
  <c r="G43" i="6"/>
  <c r="D16" i="2"/>
  <c r="D16" i="6"/>
  <c r="G53" i="2"/>
  <c r="G43" i="2"/>
  <c r="D16" i="1"/>
  <c r="G43" i="1"/>
  <c r="G53" i="1"/>
  <c r="G56" i="1" l="1"/>
  <c r="G57" i="1" s="1"/>
  <c r="G57" i="6" l="1"/>
  <c r="G58" i="1"/>
  <c r="G57" i="2"/>
  <c r="F57" i="1" l="1"/>
  <c r="F58" i="6" s="1"/>
  <c r="G58" i="6"/>
  <c r="G58" i="2"/>
  <c r="F58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<sst xmlns="http://schemas.openxmlformats.org/spreadsheetml/2006/main" count="192" uniqueCount="130">
  <si>
    <t>____________________________</t>
  </si>
  <si>
    <t>670100-2200921129/6210</t>
  </si>
  <si>
    <t>CZ2062106701002200921129</t>
  </si>
  <si>
    <t>Execution deadline</t>
  </si>
  <si>
    <t>CENOVÁ NABÍDKA</t>
  </si>
  <si>
    <t>Cenová nabídka ze dne:</t>
  </si>
  <si>
    <t>Platnost nabídky do:</t>
  </si>
  <si>
    <t>1) Název projektu</t>
  </si>
  <si>
    <t>2) Zákazník</t>
  </si>
  <si>
    <t>3) Dodavatel</t>
  </si>
  <si>
    <t>Místo</t>
  </si>
  <si>
    <t>Datum</t>
  </si>
  <si>
    <t>Doba dokončení</t>
  </si>
  <si>
    <t>Činnost</t>
  </si>
  <si>
    <t>MJ</t>
  </si>
  <si>
    <t>Jednotek</t>
  </si>
  <si>
    <t>Cena</t>
  </si>
  <si>
    <t>Cena/MJ</t>
  </si>
  <si>
    <t>Celková cena činností:</t>
  </si>
  <si>
    <t>Účelně vynaložené náklady k proplacení</t>
  </si>
  <si>
    <t>Celkem vynaložené náklady:</t>
  </si>
  <si>
    <t>Celkem bez DPH:</t>
  </si>
  <si>
    <t>Zaplatit zálohu - rychlá QR platba</t>
  </si>
  <si>
    <t>Platnost do (dnes + 30 dnů) - automatická kalkulace</t>
  </si>
  <si>
    <t>Pokud nejsou vyplněny hodnoty ve sloupcích C,D,E,F, ve sloupci G s cenou není zobrazeno nic.</t>
  </si>
  <si>
    <t>Celková cena za Činnosti - počítáno samo</t>
  </si>
  <si>
    <t>Celková cena za účelně vynaložené náklady je rovněž sečtena automaticky</t>
  </si>
  <si>
    <t>Automaticky sečtená výše celkové částky z Činností a Nákladů bez DPH.</t>
  </si>
  <si>
    <t>Obsah článků, obrázky ke zveřejnění, dokumenty ke zveřejnění.</t>
  </si>
  <si>
    <t>Fakturační údaje, Kontaktní údaje.</t>
  </si>
  <si>
    <t>Od této buňky (o jeden řádek výše a jeden sloupec doleva) se vše vybere pro uložení do formátu PDF. Cokoliv mimo tuto oblast nebude vytištěno (A4 formát).</t>
  </si>
  <si>
    <t>Oblast tisku je (A1:I81). Makro tiskne do PDF z aktuálních hodnot.</t>
  </si>
  <si>
    <t>Faktura ze dne:</t>
  </si>
  <si>
    <t>Splatnost faktury do:</t>
  </si>
  <si>
    <t>Celková cena nákladů:</t>
  </si>
  <si>
    <t>Zaplatit fakturu - rychlá QR platba</t>
  </si>
  <si>
    <t>První faktura ze dne:</t>
  </si>
  <si>
    <t>Poslední faktura ze dne:</t>
  </si>
  <si>
    <t>Suma za výběr</t>
  </si>
  <si>
    <t>Celkem</t>
  </si>
  <si>
    <t>Zákazník</t>
  </si>
  <si>
    <t>Číslo faktury</t>
  </si>
  <si>
    <t>Celkem s DPH</t>
  </si>
  <si>
    <t>Celkem bez DPH</t>
  </si>
  <si>
    <t>Datum faktury</t>
  </si>
  <si>
    <t>Česká Republika, 152 00</t>
  </si>
  <si>
    <t>Krškova 783/15, Praha 5 - Hlubočepy</t>
  </si>
  <si>
    <t>michal@kopl.pro</t>
  </si>
  <si>
    <t>https://www.kopl.pro</t>
  </si>
  <si>
    <t>doména</t>
  </si>
  <si>
    <t>webhosting</t>
  </si>
  <si>
    <t>KeePass databáze s použitými hesly (*.kdbx) + Master heslo pro přístup</t>
  </si>
  <si>
    <t>Google Analytics - Nastavení v šabloně + přístup</t>
  </si>
  <si>
    <t>.htaccess soubor, přesměrování na HTTPS + certifikát Let's Encrypt</t>
  </si>
  <si>
    <t>Konfigurace Recaptcha na formuláři (secret key, site key)</t>
  </si>
  <si>
    <t>stránka</t>
  </si>
  <si>
    <t>DB</t>
  </si>
  <si>
    <t>skript</t>
  </si>
  <si>
    <t>Responzivní šablona pro použití v 5ti zařízeních - různé šířky displejů</t>
  </si>
  <si>
    <t>Instalace (CMS) Joomla!, uživatelské přístupy, kategorie</t>
  </si>
  <si>
    <t>analýza</t>
  </si>
  <si>
    <t>obrázek</t>
  </si>
  <si>
    <t>CMS</t>
  </si>
  <si>
    <t>pár klíčů</t>
  </si>
  <si>
    <t>formulář</t>
  </si>
  <si>
    <t>galerie</t>
  </si>
  <si>
    <t>měsíc</t>
  </si>
  <si>
    <t>odkaz</t>
  </si>
  <si>
    <t>responzivní 404 stránka pro chybné URL adresy (návratová stránka)</t>
  </si>
  <si>
    <t>responzivní stránky (Home page, O nás, Kontakt)</t>
  </si>
  <si>
    <t>hodina</t>
  </si>
  <si>
    <t>responzivní Galerie s 10ti snímky s popisem</t>
  </si>
  <si>
    <t>Kontaktní formulář (mapa, jméno, email, telefon, zpráva - odesíláno na e-mail)</t>
  </si>
  <si>
    <t>SEO obrázků - velikost souboru, rozměry, ALT tagy</t>
  </si>
  <si>
    <t>Zašifrování kontaktních údajů (JavaScript) - telefony, e-mail</t>
  </si>
  <si>
    <t>šablona</t>
  </si>
  <si>
    <t>hlavička</t>
  </si>
  <si>
    <t>SEO report po dokončení tvorby webu</t>
  </si>
  <si>
    <t>report</t>
  </si>
  <si>
    <t>1000 odkazů</t>
  </si>
  <si>
    <t>1 roční předplatné EBOLA BASIC (10GB, e-maily, MySQL, pro 5 domén)</t>
  </si>
  <si>
    <t>Úhradou zálohy, vyjadřujete s nabídkou souhlas.</t>
  </si>
  <si>
    <t>SEO Linková pyramida (odkazy na URL odkazující na Landing page), report</t>
  </si>
  <si>
    <t>SEO Zpětné odkazy, report</t>
  </si>
  <si>
    <t>Zaškolení práce v CMS i editoru Nicepage, konzultace</t>
  </si>
  <si>
    <t>Předplatné indexace (linklicious.co - Pro 57$ - Google, AHREFS, MajesticSEO)</t>
  </si>
  <si>
    <t>soubor</t>
  </si>
  <si>
    <t>No-code WYSIWIG editor Nicepage Ultimate (brandovaná licence)</t>
  </si>
  <si>
    <t>konfig. webhostingu (NSSET, MySQL, FTP, e-maily, webserver, PHP, statistiky)</t>
  </si>
  <si>
    <t>SEO URL-Redirecting a Indexace zpětných odkazů (i z Linkové pyramidy)</t>
  </si>
  <si>
    <t>SEO Sitemap.xml a Robots.txt</t>
  </si>
  <si>
    <t>SEO Meta Description, Keywords, Title, délka (Home page, O nás, Kontakt)</t>
  </si>
  <si>
    <t>C:\_DEV\</t>
  </si>
  <si>
    <t>Celková cena je zaokrouhlena na nejbližší celé Kč.</t>
  </si>
  <si>
    <t>IČO: 03217213</t>
  </si>
  <si>
    <t>Full Remote</t>
  </si>
  <si>
    <t>4) Lokalita projektu</t>
  </si>
  <si>
    <t>5) Doba trvání projektu - počet pracovních dnů - mění se v nabídce samo</t>
  </si>
  <si>
    <t>6) Přidat činnosti</t>
  </si>
  <si>
    <t>8) Před tiskem by možná bylo dobré vše setřídit, ale není to nutné. Na funkci to nemá vliv.</t>
  </si>
  <si>
    <t>10) Vyplnit účelně vynaložené náklady stejným způsobem jako činnosti</t>
  </si>
  <si>
    <t>12) Před tiskem by možná bylo dobré vše setřídit, ale není to nutné. Na funkci to nemá vliv.</t>
  </si>
  <si>
    <t>13) Sazba DPH použitá pro kalkulaci celkové částky včetně DPH</t>
  </si>
  <si>
    <t>14) Výše procentní zálohy používaná pro kalkulaci její výše (včetně DPH).</t>
  </si>
  <si>
    <t>15) Změnou barvy pozadí buňky se po vygenerování změní barva QR kódu.</t>
  </si>
  <si>
    <t>7) Upravovat pouze Činnosti, Množstevní Jednotky, Počet množstevních jednotek, Cenu za Množstevní Jednotku. V e sloupci Cena je vzorec.</t>
  </si>
  <si>
    <t>jan.novak@seznam.cz</t>
  </si>
  <si>
    <t>Jan Novák, Grand Hotel EUROPA</t>
  </si>
  <si>
    <t>Česká Republika, 110 00</t>
  </si>
  <si>
    <t>Václavské nám. 378, Praha 1 - Nové Město</t>
  </si>
  <si>
    <t>IČO: 12345678</t>
  </si>
  <si>
    <t>Výsledný soubor PDF bude uložen do složky definované pod tlačítkem v buňce L33 (musí existovat, s právy k zápisu, jinak se objeví chyba a zpracování bude přerušeno). Cesta musí končit oddělovačem složek (znakem "/" anebo "\" - podle Operačního Systému). Soubor který bude vytvářen nesmí být otevřen v jiné aplikaci (např. Adobe Reader). Po dokončení běhu makra, se nový výsledný soubor PDF sám otevře v asociované aplikaci.</t>
  </si>
  <si>
    <t>Europa 2023</t>
  </si>
  <si>
    <t>Cena se vypočítá podle počtu množstevních jednotek a ceny za množstevní jednotku.</t>
  </si>
  <si>
    <t>Oblast tisku je (A1:I81) - nastaveno v makru. Makro tiskne do PDF z aktuálních hodnot.</t>
  </si>
  <si>
    <t>Petr Reichter</t>
  </si>
  <si>
    <t>9) Potřebné dokumenty a informace</t>
  </si>
  <si>
    <t>Potřebné dokumenty a informace:</t>
  </si>
  <si>
    <t>Celková cena i záloha, jsou zaokrouhleny na celé Kč.</t>
  </si>
  <si>
    <t>1 roční předplatné domény ubytovani.shop - registrátor tele3.cz</t>
  </si>
  <si>
    <t>1 roční předplatné domény hotely.shop - registrátor tele3.cz</t>
  </si>
  <si>
    <t>SEO analýza konkurence (1. výsledek z Google.com na KW "ubytování" a "hotely")</t>
  </si>
  <si>
    <t>SEO analýza webu mojehotely.cz (on-page, off-page)</t>
  </si>
  <si>
    <t>Michal Kopl, Kopl Pro</t>
  </si>
  <si>
    <t>Měnit jen položky v zelených buňkách, činnosti či náklady a logo. Jinde jsou vzorce či texty.</t>
  </si>
  <si>
    <t>Vystavuje se až po dokončení celého procesu. Proto již nemá datum splatnosti.</t>
  </si>
  <si>
    <t>Vystavuje se před úhradou, proto má datum splatnosti.</t>
  </si>
  <si>
    <t>Seznam všech vydaných Faktur, spolu s jejich výšemi. Jedná se o Faktury konečné, tj. nikoliv Zálohové.</t>
  </si>
  <si>
    <t>Použitím filtrů na řádku 13, lze zvolit atributy pro celkovou kalkulaci Sumy za výběr. Celková suma je zobrazena stále.</t>
  </si>
  <si>
    <t>11) Upravovat pouze Činnosti, Množstevní Jednotky, Počet množstevních jednotek, Cenu za Množstevní Jednotku. Ve sloupci Cena je vzorec.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</si>
</sst>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&quot;. &quot;m&quot;. &quot;yy"/>
    <numFmt numFmtId="165" formatCode="0.0"/>
    <numFmt numFmtId="166" formatCode="#,##0.00\ &quot;Kč&quot;"/>
    <numFmt numFmtId="167" formatCode="[$-405]d\.\ mmmm\ yyyy;@"/>
    <numFmt numFmtId="168" formatCode="d&quot;. &quot;m&quot;. &quot;yyyy"/>
    <numFmt numFmtId="169" formatCode="[$$-409]#,##0.00"/>
    <numFmt numFmtId="170" formatCode="#,##0\ &quot;Kč&quot;"/>
  </numFmts>
  <fonts count="32" x14ac:knownFonts="1">
    <font>
      <sz val="11"/>
      <color indexed="8"/>
      <name val="Calibri"/>
      <family val="2"/>
      <charset val="238"/>
    </font>
    <font>
      <u/>
      <sz val="11"/>
      <color rgb="FF0000FF"/>
      <name val="Calibri"/>
      <family val="2"/>
      <charset val="238"/>
    </font>
    <font>
      <b/>
      <i/>
      <sz val="16"/>
      <color rgb="FF000000"/>
      <name val="Calibri"/>
      <family val="2"/>
      <charset val="238"/>
    </font>
    <font>
      <u/>
      <sz val="11"/>
      <color theme="10"/>
      <name val="Calibri"/>
      <family val="2"/>
      <charset val="238"/>
    </font>
    <font>
      <u/>
      <sz val="12.6"/>
      <color rgb="FF0000FF"/>
      <name val="Calibri"/>
      <family val="2"/>
      <charset val="238"/>
    </font>
    <font>
      <b/>
      <i/>
      <u/>
      <sz val="11"/>
      <color rgb="FF000000"/>
      <name val="Calibri"/>
      <family val="2"/>
      <charset val="238"/>
    </font>
    <font>
      <b/>
      <sz val="11"/>
      <color rgb="FF000000"/>
      <name val="Arial"/>
      <family val="2"/>
      <charset val="238"/>
    </font>
    <font>
      <sz val="11"/>
      <color indexed="8"/>
      <name val="Arial"/>
      <family val="2"/>
      <charset val="238"/>
    </font>
    <font>
      <b/>
      <sz val="11"/>
      <color indexed="8"/>
      <name val="Arial"/>
      <family val="2"/>
      <charset val="238"/>
    </font>
    <font>
      <u/>
      <sz val="11"/>
      <color theme="10"/>
      <name val="Arial"/>
      <family val="2"/>
      <charset val="238"/>
    </font>
    <font>
      <b/>
      <sz val="26"/>
      <color rgb="FF000000"/>
      <name val="Arial"/>
      <family val="2"/>
      <charset val="238"/>
    </font>
    <font>
      <b/>
      <sz val="10"/>
      <color indexed="8"/>
      <name val="Arial"/>
      <family val="2"/>
      <charset val="238"/>
    </font>
    <font>
      <b/>
      <sz val="14"/>
      <color rgb="FFFF0000"/>
      <name val="Arial"/>
      <family val="2"/>
    </font>
    <font>
      <b/>
      <u/>
      <sz val="11"/>
      <color indexed="8"/>
      <name val="Arial"/>
      <family val="2"/>
    </font>
    <font>
      <b/>
      <u/>
      <sz val="11"/>
      <color rgb="FF000000"/>
      <name val="Arial"/>
      <family val="2"/>
    </font>
    <font>
      <b/>
      <sz val="16"/>
      <color indexed="8"/>
      <name val="Arial"/>
      <family val="2"/>
      <charset val="238"/>
    </font>
    <font>
      <sz val="11"/>
      <name val="Arial"/>
      <family val="2"/>
      <charset val="238"/>
    </font>
    <font>
      <sz val="11"/>
      <name val="Calibri"/>
      <family val="2"/>
      <charset val="238"/>
    </font>
    <font>
      <sz val="11"/>
      <color rgb="FF006100"/>
      <name val="Calibri"/>
      <family val="2"/>
      <scheme val="minor"/>
    </font>
    <font>
      <b/>
      <u/>
      <sz val="11"/>
      <color indexed="8"/>
      <name val="Arial"/>
      <family val="2"/>
      <charset val="238"/>
    </font>
    <font>
      <b/>
      <sz val="14"/>
      <color rgb="FFFF0000"/>
      <name val="Calibri"/>
      <family val="2"/>
      <charset val="238"/>
    </font>
    <font>
      <sz val="11"/>
      <name val="Arial"/>
      <family val="2"/>
    </font>
    <font>
      <b/>
      <sz val="11"/>
      <name val="Arial"/>
      <family val="2"/>
    </font>
    <font>
      <b/>
      <u/>
      <sz val="11"/>
      <name val="Arial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rgb="FFFF0000"/>
      <name val="Arial"/>
      <family val="2"/>
      <charset val="238"/>
    </font>
    <font>
      <b/>
      <sz val="24"/>
      <color rgb="FF000000"/>
      <name val="Arial"/>
      <family val="2"/>
      <charset val="238"/>
    </font>
    <font>
      <b/>
      <u/>
      <sz val="11"/>
      <color indexed="8"/>
      <name val="Calibri"/>
      <family val="2"/>
    </font>
    <font>
      <sz val="11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theme="2"/>
      </right>
      <top style="thick">
        <color indexed="64"/>
      </top>
      <bottom/>
      <diagonal/>
    </border>
    <border>
      <left style="thick">
        <color indexed="64"/>
      </left>
      <right style="thick">
        <color theme="2"/>
      </right>
      <top/>
      <bottom/>
      <diagonal/>
    </border>
    <border>
      <left style="thick">
        <color indexed="64"/>
      </left>
      <right style="thick">
        <color theme="2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ck">
        <color theme="2"/>
      </left>
      <right style="thin">
        <color indexed="64"/>
      </right>
      <top style="thick">
        <color indexed="64"/>
      </top>
      <bottom/>
      <diagonal/>
    </border>
    <border>
      <left style="thick">
        <color theme="2"/>
      </left>
      <right style="thin">
        <color indexed="64"/>
      </right>
      <top/>
      <bottom style="thick">
        <color indexed="64"/>
      </bottom>
      <diagonal/>
    </border>
  </borders>
  <cellStyleXfs count="9">
    <xf numFmtId="0" fontId="0" fillId="0" borderId="0"/>
    <xf numFmtId="0" fontId="1" fillId="0" borderId="0"/>
    <xf numFmtId="0" fontId="2" fillId="0" borderId="0">
      <alignment horizontal="center"/>
    </xf>
    <xf numFmtId="0" fontId="2" fillId="0" borderId="0">
      <alignment horizontal="center" textRotation="90"/>
    </xf>
    <xf numFmtId="0" fontId="3" fillId="0" borderId="0" applyNumberFormat="0" applyFill="0" applyBorder="0" applyAlignment="0" applyProtection="0"/>
    <xf numFmtId="0" fontId="4" fillId="0" borderId="0"/>
    <xf numFmtId="0" fontId="5" fillId="0" borderId="0"/>
    <xf numFmtId="0" fontId="5" fillId="0" borderId="0"/>
    <xf numFmtId="0" fontId="18" fillId="3" borderId="0" applyNumberFormat="0" applyBorder="0" applyAlignment="0" applyProtection="0"/>
  </cellStyleXfs>
  <cellXfs count="229">
    <xf numFmtId="0" fontId="0" fillId="0" borderId="0" xfId="0"/>
    <xf numFmtId="0" fontId="7" fillId="2" borderId="0" xfId="0" applyFont="1" applyFill="1" applyAlignment="1">
      <alignment vertical="center"/>
    </xf>
    <xf numFmtId="0" fontId="7" fillId="2" borderId="2" xfId="0" applyFont="1" applyFill="1" applyBorder="1" applyAlignment="1">
      <alignment vertical="center"/>
    </xf>
    <xf numFmtId="1" fontId="7" fillId="2" borderId="0" xfId="0" applyNumberFormat="1" applyFont="1" applyFill="1" applyAlignment="1">
      <alignment vertical="center"/>
    </xf>
    <xf numFmtId="0" fontId="0" fillId="2" borderId="0" xfId="0" applyFill="1"/>
    <xf numFmtId="165" fontId="7" fillId="2" borderId="0" xfId="0" applyNumberFormat="1" applyFont="1" applyFill="1" applyAlignment="1">
      <alignment vertical="center"/>
    </xf>
    <xf numFmtId="3" fontId="7" fillId="2" borderId="0" xfId="1" applyNumberFormat="1" applyFont="1" applyFill="1" applyAlignment="1">
      <alignment horizontal="left" vertical="center"/>
    </xf>
    <xf numFmtId="166" fontId="7" fillId="2" borderId="0" xfId="0" applyNumberFormat="1" applyFont="1" applyFill="1" applyAlignment="1">
      <alignment vertical="center"/>
    </xf>
    <xf numFmtId="0" fontId="3" fillId="0" borderId="0" xfId="4" applyFill="1" applyBorder="1" applyAlignment="1">
      <alignment horizontal="center" vertical="center"/>
    </xf>
    <xf numFmtId="0" fontId="7" fillId="2" borderId="0" xfId="0" quotePrefix="1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14" fillId="2" borderId="0" xfId="0" applyFont="1" applyFill="1" applyAlignment="1">
      <alignment vertical="center"/>
    </xf>
    <xf numFmtId="0" fontId="15" fillId="2" borderId="0" xfId="0" applyFont="1" applyFill="1" applyAlignment="1">
      <alignment vertical="center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6" fillId="2" borderId="1" xfId="0" applyFont="1" applyFill="1" applyBorder="1" applyAlignment="1">
      <alignment vertical="center"/>
    </xf>
    <xf numFmtId="168" fontId="7" fillId="2" borderId="0" xfId="0" applyNumberFormat="1" applyFont="1" applyFill="1" applyAlignment="1">
      <alignment vertical="center"/>
    </xf>
    <xf numFmtId="0" fontId="19" fillId="2" borderId="0" xfId="0" applyFont="1" applyFill="1" applyAlignment="1">
      <alignment vertical="center"/>
    </xf>
    <xf numFmtId="0" fontId="3" fillId="2" borderId="0" xfId="4" applyFill="1" applyBorder="1" applyAlignment="1">
      <alignment vertical="center"/>
    </xf>
    <xf numFmtId="0" fontId="9" fillId="0" borderId="3" xfId="4" applyFont="1" applyFill="1" applyBorder="1" applyAlignment="1">
      <alignment vertical="center"/>
    </xf>
    <xf numFmtId="0" fontId="7" fillId="0" borderId="0" xfId="0" applyFont="1" applyAlignment="1">
      <alignment vertical="center"/>
    </xf>
    <xf numFmtId="168" fontId="7" fillId="0" borderId="6" xfId="0" applyNumberFormat="1" applyFont="1" applyBorder="1" applyAlignment="1">
      <alignment horizontal="left" vertical="center"/>
    </xf>
    <xf numFmtId="0" fontId="7" fillId="0" borderId="5" xfId="0" applyFont="1" applyBorder="1" applyAlignment="1">
      <alignment vertical="center"/>
    </xf>
    <xf numFmtId="0" fontId="8" fillId="0" borderId="0" xfId="0" applyFont="1" applyAlignment="1">
      <alignment horizontal="right" vertical="center"/>
    </xf>
    <xf numFmtId="168" fontId="7" fillId="0" borderId="0" xfId="0" applyNumberFormat="1" applyFont="1" applyAlignment="1">
      <alignment horizontal="left"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165" fontId="7" fillId="0" borderId="0" xfId="0" applyNumberFormat="1" applyFont="1" applyAlignment="1">
      <alignment vertical="center"/>
    </xf>
    <xf numFmtId="3" fontId="7" fillId="0" borderId="0" xfId="1" applyNumberFormat="1" applyFont="1" applyAlignment="1">
      <alignment horizontal="left" vertical="center"/>
    </xf>
    <xf numFmtId="0" fontId="7" fillId="0" borderId="8" xfId="0" applyFont="1" applyBorder="1" applyAlignment="1">
      <alignment vertical="center"/>
    </xf>
    <xf numFmtId="1" fontId="7" fillId="0" borderId="0" xfId="0" applyNumberFormat="1" applyFont="1" applyAlignment="1">
      <alignment vertical="center"/>
    </xf>
    <xf numFmtId="0" fontId="7" fillId="0" borderId="4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3" fontId="7" fillId="0" borderId="6" xfId="1" applyNumberFormat="1" applyFont="1" applyBorder="1" applyAlignment="1">
      <alignment horizontal="left" vertical="center"/>
    </xf>
    <xf numFmtId="1" fontId="7" fillId="0" borderId="6" xfId="0" applyNumberFormat="1" applyFont="1" applyBorder="1" applyAlignment="1">
      <alignment vertical="center"/>
    </xf>
    <xf numFmtId="0" fontId="7" fillId="0" borderId="0" xfId="1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left" vertical="center"/>
    </xf>
    <xf numFmtId="168" fontId="7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165" fontId="8" fillId="0" borderId="0" xfId="0" applyNumberFormat="1" applyFont="1" applyAlignment="1">
      <alignment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1" fontId="7" fillId="0" borderId="2" xfId="0" applyNumberFormat="1" applyFont="1" applyBorder="1" applyAlignment="1">
      <alignment vertical="center"/>
    </xf>
    <xf numFmtId="1" fontId="8" fillId="0" borderId="2" xfId="0" applyNumberFormat="1" applyFont="1" applyBorder="1" applyAlignment="1">
      <alignment vertical="center"/>
    </xf>
    <xf numFmtId="0" fontId="6" fillId="0" borderId="0" xfId="0" applyFont="1" applyAlignment="1">
      <alignment horizontal="right" vertical="center"/>
    </xf>
    <xf numFmtId="166" fontId="8" fillId="0" borderId="0" xfId="0" applyNumberFormat="1" applyFont="1" applyAlignment="1">
      <alignment horizontal="right" vertical="center"/>
    </xf>
    <xf numFmtId="1" fontId="8" fillId="0" borderId="0" xfId="0" applyNumberFormat="1" applyFont="1" applyAlignment="1">
      <alignment horizontal="right" vertical="center"/>
    </xf>
    <xf numFmtId="1" fontId="8" fillId="0" borderId="0" xfId="0" applyNumberFormat="1" applyFont="1" applyAlignment="1">
      <alignment vertical="center"/>
    </xf>
    <xf numFmtId="2" fontId="8" fillId="0" borderId="0" xfId="0" applyNumberFormat="1" applyFont="1" applyAlignment="1">
      <alignment vertical="center"/>
    </xf>
    <xf numFmtId="0" fontId="0" fillId="0" borderId="0" xfId="0" applyAlignment="1">
      <alignment horizontal="center"/>
    </xf>
    <xf numFmtId="3" fontId="7" fillId="0" borderId="0" xfId="0" applyNumberFormat="1" applyFont="1" applyAlignment="1">
      <alignment vertical="center"/>
    </xf>
    <xf numFmtId="166" fontId="8" fillId="0" borderId="0" xfId="0" applyNumberFormat="1" applyFont="1" applyAlignment="1">
      <alignment vertical="center"/>
    </xf>
    <xf numFmtId="0" fontId="8" fillId="0" borderId="2" xfId="0" applyFont="1" applyBorder="1" applyAlignment="1">
      <alignment vertical="center"/>
    </xf>
    <xf numFmtId="166" fontId="7" fillId="0" borderId="0" xfId="0" applyNumberFormat="1" applyFont="1" applyAlignment="1">
      <alignment vertical="center"/>
    </xf>
    <xf numFmtId="0" fontId="7" fillId="0" borderId="0" xfId="0" quotePrefix="1" applyFont="1" applyAlignment="1">
      <alignment horizontal="center" vertical="center"/>
    </xf>
    <xf numFmtId="0" fontId="7" fillId="0" borderId="1" xfId="0" applyFont="1" applyBorder="1" applyAlignment="1">
      <alignment vertical="center"/>
    </xf>
    <xf numFmtId="165" fontId="7" fillId="0" borderId="1" xfId="0" applyNumberFormat="1" applyFont="1" applyBorder="1" applyAlignment="1">
      <alignment vertical="center"/>
    </xf>
    <xf numFmtId="1" fontId="7" fillId="0" borderId="1" xfId="0" applyNumberFormat="1" applyFont="1" applyBorder="1" applyAlignment="1">
      <alignment vertical="center"/>
    </xf>
    <xf numFmtId="0" fontId="21" fillId="2" borderId="0" xfId="0" applyFont="1" applyFill="1" applyAlignment="1">
      <alignment vertical="center"/>
    </xf>
    <xf numFmtId="0" fontId="22" fillId="2" borderId="0" xfId="0" applyFont="1" applyFill="1" applyAlignment="1">
      <alignment vertical="center" wrapText="1"/>
    </xf>
    <xf numFmtId="2" fontId="21" fillId="2" borderId="0" xfId="0" applyNumberFormat="1" applyFont="1" applyFill="1" applyAlignment="1">
      <alignment vertical="center"/>
    </xf>
    <xf numFmtId="0" fontId="23" fillId="2" borderId="0" xfId="0" applyFont="1" applyFill="1" applyAlignment="1">
      <alignment vertical="center"/>
    </xf>
    <xf numFmtId="0" fontId="3" fillId="2" borderId="0" xfId="4" applyFill="1" applyAlignment="1">
      <alignment vertical="center"/>
    </xf>
    <xf numFmtId="0" fontId="11" fillId="0" borderId="0" xfId="0" applyFont="1" applyAlignment="1">
      <alignment horizontal="right" vertical="center"/>
    </xf>
    <xf numFmtId="169" fontId="16" fillId="0" borderId="0" xfId="0" applyNumberFormat="1" applyFont="1" applyAlignment="1">
      <alignment horizontal="right" vertical="center"/>
    </xf>
    <xf numFmtId="169" fontId="7" fillId="2" borderId="0" xfId="0" applyNumberFormat="1" applyFont="1" applyFill="1" applyAlignment="1">
      <alignment vertical="center"/>
    </xf>
    <xf numFmtId="0" fontId="7" fillId="0" borderId="0" xfId="0" applyFont="1" applyAlignment="1">
      <alignment horizontal="left" vertical="center"/>
    </xf>
    <xf numFmtId="169" fontId="16" fillId="0" borderId="0" xfId="0" applyNumberFormat="1" applyFont="1" applyAlignment="1">
      <alignment vertical="center"/>
    </xf>
    <xf numFmtId="0" fontId="18" fillId="2" borderId="0" xfId="8" applyFill="1" applyBorder="1" applyAlignment="1">
      <alignment horizontal="center" vertical="center"/>
    </xf>
    <xf numFmtId="10" fontId="18" fillId="2" borderId="0" xfId="8" applyNumberFormat="1" applyFill="1" applyBorder="1" applyAlignment="1">
      <alignment horizontal="center" vertical="center"/>
    </xf>
    <xf numFmtId="0" fontId="9" fillId="0" borderId="1" xfId="4" applyFont="1" applyFill="1" applyBorder="1" applyAlignment="1">
      <alignment vertical="center"/>
    </xf>
    <xf numFmtId="0" fontId="12" fillId="2" borderId="0" xfId="0" applyFont="1" applyFill="1" applyAlignment="1">
      <alignment vertical="center" wrapText="1"/>
    </xf>
    <xf numFmtId="0" fontId="8" fillId="0" borderId="11" xfId="0" applyFont="1" applyBorder="1" applyAlignment="1">
      <alignment horizontal="right" vertical="center"/>
    </xf>
    <xf numFmtId="0" fontId="8" fillId="0" borderId="13" xfId="0" applyFont="1" applyBorder="1" applyAlignment="1">
      <alignment horizontal="right"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17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8" fillId="0" borderId="12" xfId="0" applyFont="1" applyBorder="1" applyAlignment="1">
      <alignment horizontal="right" vertical="center"/>
    </xf>
    <xf numFmtId="0" fontId="24" fillId="0" borderId="7" xfId="0" applyFont="1" applyBorder="1" applyAlignment="1">
      <alignment vertical="center"/>
    </xf>
    <xf numFmtId="0" fontId="24" fillId="0" borderId="0" xfId="0" applyFont="1" applyAlignment="1">
      <alignment vertical="center"/>
    </xf>
    <xf numFmtId="3" fontId="24" fillId="0" borderId="0" xfId="1" applyNumberFormat="1" applyFont="1" applyAlignment="1">
      <alignment horizontal="left" vertical="center"/>
    </xf>
    <xf numFmtId="1" fontId="24" fillId="0" borderId="0" xfId="0" applyNumberFormat="1" applyFont="1" applyAlignment="1">
      <alignment vertical="center"/>
    </xf>
    <xf numFmtId="0" fontId="24" fillId="0" borderId="2" xfId="0" applyFont="1" applyBorder="1" applyAlignment="1">
      <alignment vertical="center"/>
    </xf>
    <xf numFmtId="1" fontId="24" fillId="0" borderId="2" xfId="0" applyNumberFormat="1" applyFont="1" applyBorder="1" applyAlignment="1">
      <alignment vertical="center"/>
    </xf>
    <xf numFmtId="0" fontId="24" fillId="0" borderId="2" xfId="0" applyFont="1" applyBorder="1"/>
    <xf numFmtId="0" fontId="24" fillId="0" borderId="8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24" fillId="0" borderId="1" xfId="0" applyFont="1" applyBorder="1" applyAlignment="1">
      <alignment horizontal="center" vertical="center"/>
    </xf>
    <xf numFmtId="0" fontId="0" fillId="2" borderId="0" xfId="0" quotePrefix="1" applyFill="1"/>
    <xf numFmtId="14" fontId="24" fillId="0" borderId="1" xfId="0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left" vertical="center"/>
    </xf>
    <xf numFmtId="0" fontId="0" fillId="0" borderId="8" xfId="0" applyBorder="1"/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vertical="center"/>
      <protection locked="0"/>
    </xf>
    <xf numFmtId="0" fontId="24" fillId="4" borderId="0" xfId="0" applyFont="1" applyFill="1" applyAlignment="1" applyProtection="1">
      <alignment horizontal="left"/>
      <protection locked="0"/>
    </xf>
    <xf numFmtId="0" fontId="24" fillId="4" borderId="0" xfId="0" applyFont="1" applyFill="1" applyAlignment="1" applyProtection="1">
      <alignment horizontal="center"/>
      <protection locked="0"/>
    </xf>
    <xf numFmtId="0" fontId="24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14" fontId="24" fillId="0" borderId="0" xfId="0" applyNumberFormat="1" applyFont="1" applyAlignment="1">
      <alignment horizontal="center"/>
    </xf>
    <xf numFmtId="0" fontId="24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14" fontId="24" fillId="0" borderId="0" xfId="0" applyNumberFormat="1" applyFont="1" applyAlignment="1">
      <alignment horizontal="center" vertical="center"/>
    </xf>
    <xf numFmtId="168" fontId="24" fillId="0" borderId="0" xfId="0" applyNumberFormat="1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left" vertical="center" wrapText="1"/>
    </xf>
    <xf numFmtId="14" fontId="26" fillId="0" borderId="0" xfId="0" applyNumberFormat="1" applyFont="1" applyAlignment="1">
      <alignment horizontal="center" vertical="center"/>
    </xf>
    <xf numFmtId="166" fontId="24" fillId="0" borderId="0" xfId="0" applyNumberFormat="1" applyFont="1" applyAlignment="1">
      <alignment horizontal="center"/>
    </xf>
    <xf numFmtId="3" fontId="24" fillId="0" borderId="0" xfId="0" applyNumberFormat="1" applyFont="1" applyAlignment="1">
      <alignment horizontal="center" vertical="center"/>
    </xf>
    <xf numFmtId="0" fontId="24" fillId="0" borderId="0" xfId="0" quotePrefix="1" applyFont="1" applyAlignment="1">
      <alignment horizontal="left" vertical="center"/>
    </xf>
    <xf numFmtId="0" fontId="27" fillId="0" borderId="0" xfId="4" applyFont="1" applyFill="1" applyBorder="1" applyAlignment="1" applyProtection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14" fontId="7" fillId="0" borderId="6" xfId="0" applyNumberFormat="1" applyFont="1" applyBorder="1" applyAlignment="1">
      <alignment horizontal="left" vertical="center"/>
    </xf>
    <xf numFmtId="14" fontId="7" fillId="0" borderId="0" xfId="0" applyNumberFormat="1" applyFont="1" applyAlignment="1">
      <alignment horizontal="left" vertical="center"/>
    </xf>
    <xf numFmtId="0" fontId="22" fillId="2" borderId="0" xfId="0" applyFont="1" applyFill="1" applyAlignment="1">
      <alignment vertical="center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7" fillId="0" borderId="0" xfId="0" applyNumberFormat="1" applyFont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166" fontId="7" fillId="0" borderId="10" xfId="0" applyNumberFormat="1" applyFont="1" applyBorder="1" applyAlignment="1">
      <alignment horizontal="center" vertical="center"/>
    </xf>
    <xf numFmtId="170" fontId="16" fillId="0" borderId="5" xfId="0" applyNumberFormat="1" applyFont="1" applyBorder="1" applyAlignment="1">
      <alignment horizontal="center" vertical="center"/>
    </xf>
    <xf numFmtId="170" fontId="16" fillId="0" borderId="2" xfId="0" applyNumberFormat="1" applyFont="1" applyBorder="1" applyAlignment="1">
      <alignment horizontal="center" vertical="center"/>
    </xf>
    <xf numFmtId="170" fontId="16" fillId="0" borderId="3" xfId="0" applyNumberFormat="1" applyFont="1" applyBorder="1" applyAlignment="1">
      <alignment horizontal="center" vertical="center"/>
    </xf>
    <xf numFmtId="170" fontId="7" fillId="0" borderId="0" xfId="0" applyNumberFormat="1" applyFont="1" applyAlignment="1">
      <alignment horizontal="center" vertical="center"/>
    </xf>
    <xf numFmtId="170" fontId="24" fillId="0" borderId="0" xfId="0" applyNumberFormat="1" applyFont="1" applyAlignment="1">
      <alignment horizontal="center"/>
    </xf>
    <xf numFmtId="170" fontId="24" fillId="0" borderId="0" xfId="0" applyNumberFormat="1" applyFont="1" applyAlignment="1">
      <alignment horizontal="center" vertical="center"/>
    </xf>
    <xf numFmtId="170" fontId="25" fillId="0" borderId="0" xfId="0" applyNumberFormat="1" applyFont="1" applyAlignment="1">
      <alignment horizontal="center" vertical="center"/>
    </xf>
    <xf numFmtId="170" fontId="24" fillId="0" borderId="1" xfId="0" applyNumberFormat="1" applyFont="1" applyBorder="1" applyAlignment="1">
      <alignment horizontal="center" vertical="center"/>
    </xf>
    <xf numFmtId="0" fontId="21" fillId="5" borderId="14" xfId="0" applyFont="1" applyFill="1" applyBorder="1" applyAlignment="1">
      <alignment vertical="center"/>
    </xf>
    <xf numFmtId="0" fontId="11" fillId="0" borderId="19" xfId="0" applyFont="1" applyBorder="1" applyAlignment="1">
      <alignment horizontal="right" vertical="center"/>
    </xf>
    <xf numFmtId="0" fontId="11" fillId="0" borderId="20" xfId="0" applyFont="1" applyBorder="1" applyAlignment="1">
      <alignment horizontal="right" vertical="center"/>
    </xf>
    <xf numFmtId="0" fontId="11" fillId="0" borderId="21" xfId="0" applyFont="1" applyBorder="1" applyAlignment="1">
      <alignment horizontal="right" vertical="center"/>
    </xf>
    <xf numFmtId="0" fontId="11" fillId="0" borderId="23" xfId="0" applyFont="1" applyBorder="1" applyAlignment="1">
      <alignment horizontal="right" vertical="center"/>
    </xf>
    <xf numFmtId="0" fontId="11" fillId="0" borderId="24" xfId="0" applyFont="1" applyBorder="1" applyAlignment="1">
      <alignment horizontal="right" vertical="center"/>
    </xf>
    <xf numFmtId="0" fontId="18" fillId="3" borderId="14" xfId="8" applyBorder="1" applyAlignment="1" applyProtection="1">
      <alignment horizontal="center" vertical="center"/>
      <protection locked="0"/>
    </xf>
    <xf numFmtId="10" fontId="18" fillId="3" borderId="14" xfId="8" applyNumberFormat="1" applyBorder="1" applyAlignment="1" applyProtection="1">
      <alignment horizontal="center" vertical="center"/>
      <protection locked="0"/>
    </xf>
    <xf numFmtId="10" fontId="18" fillId="3" borderId="18" xfId="8" applyNumberFormat="1" applyBorder="1" applyAlignment="1" applyProtection="1">
      <alignment horizontal="center" vertical="center"/>
      <protection locked="0"/>
    </xf>
    <xf numFmtId="0" fontId="28" fillId="2" borderId="0" xfId="0" applyFont="1" applyFill="1" applyAlignment="1">
      <alignment vertical="center"/>
    </xf>
    <xf numFmtId="0" fontId="18" fillId="3" borderId="14" xfId="8" applyBorder="1" applyAlignment="1">
      <alignment horizontal="center" vertical="center"/>
    </xf>
    <xf numFmtId="0" fontId="7" fillId="0" borderId="0" xfId="0" applyFont="1"/>
    <xf numFmtId="0" fontId="7" fillId="0" borderId="5" xfId="0" applyFont="1" applyBorder="1"/>
    <xf numFmtId="0" fontId="7" fillId="2" borderId="0" xfId="0" applyFont="1" applyFill="1"/>
    <xf numFmtId="167" fontId="7" fillId="2" borderId="0" xfId="0" applyNumberFormat="1" applyFont="1" applyFill="1"/>
    <xf numFmtId="0" fontId="20" fillId="2" borderId="0" xfId="0" applyFont="1" applyFill="1" applyAlignment="1">
      <alignment horizontal="left" vertical="top" wrapText="1"/>
    </xf>
    <xf numFmtId="14" fontId="30" fillId="2" borderId="0" xfId="0" applyNumberFormat="1" applyFont="1" applyFill="1"/>
    <xf numFmtId="165" fontId="13" fillId="0" borderId="0" xfId="0" applyNumberFormat="1" applyFont="1" applyAlignment="1">
      <alignment horizontal="center" vertical="center"/>
    </xf>
    <xf numFmtId="166" fontId="16" fillId="0" borderId="5" xfId="0" applyNumberFormat="1" applyFont="1" applyBorder="1" applyAlignment="1">
      <alignment horizontal="center" vertical="center"/>
    </xf>
    <xf numFmtId="0" fontId="31" fillId="2" borderId="0" xfId="0" applyFont="1" applyFill="1"/>
    <xf numFmtId="0" fontId="13" fillId="2" borderId="0" xfId="0" applyFont="1" applyFill="1"/>
    <xf numFmtId="0" fontId="8" fillId="0" borderId="6" xfId="0" applyFont="1" applyBorder="1"/>
    <xf numFmtId="0" fontId="8" fillId="0" borderId="9" xfId="0" applyFont="1" applyBorder="1" applyAlignment="1">
      <alignment horizontal="right" vertical="center"/>
    </xf>
    <xf numFmtId="0" fontId="8" fillId="0" borderId="22" xfId="0" applyFont="1" applyBorder="1" applyAlignment="1">
      <alignment horizontal="right" vertical="center"/>
    </xf>
    <xf numFmtId="0" fontId="8" fillId="0" borderId="7" xfId="0" applyFont="1" applyBorder="1" applyAlignment="1">
      <alignment horizontal="right" vertical="center"/>
    </xf>
    <xf numFmtId="0" fontId="8" fillId="0" borderId="0" xfId="0" applyFont="1" applyAlignment="1">
      <alignment horizontal="right" vertical="center"/>
    </xf>
    <xf numFmtId="0" fontId="8" fillId="0" borderId="4" xfId="0" applyFont="1" applyBorder="1" applyAlignment="1">
      <alignment horizontal="right" vertical="center"/>
    </xf>
    <xf numFmtId="0" fontId="8" fillId="0" borderId="6" xfId="0" applyFont="1" applyBorder="1" applyAlignment="1">
      <alignment horizontal="right" vertical="center"/>
    </xf>
    <xf numFmtId="0" fontId="8" fillId="0" borderId="8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8" fillId="3" borderId="4" xfId="8" applyBorder="1" applyAlignment="1" applyProtection="1">
      <alignment horizontal="center" vertical="center"/>
      <protection locked="0"/>
    </xf>
    <xf numFmtId="0" fontId="18" fillId="3" borderId="6" xfId="8" applyBorder="1" applyAlignment="1" applyProtection="1">
      <alignment horizontal="center" vertical="center"/>
      <protection locked="0"/>
    </xf>
    <xf numFmtId="0" fontId="18" fillId="3" borderId="5" xfId="8" applyBorder="1" applyAlignment="1" applyProtection="1">
      <alignment horizontal="center" vertical="center"/>
      <protection locked="0"/>
    </xf>
    <xf numFmtId="0" fontId="13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 vertical="center"/>
    </xf>
    <xf numFmtId="0" fontId="18" fillId="3" borderId="8" xfId="8" applyBorder="1" applyAlignment="1" applyProtection="1">
      <alignment horizontal="center" vertical="center"/>
      <protection locked="0"/>
    </xf>
    <xf numFmtId="0" fontId="18" fillId="3" borderId="1" xfId="8" applyBorder="1" applyAlignment="1" applyProtection="1">
      <alignment horizontal="center" vertical="center"/>
      <protection locked="0"/>
    </xf>
    <xf numFmtId="0" fontId="18" fillId="3" borderId="3" xfId="8" applyBorder="1" applyAlignment="1" applyProtection="1">
      <alignment horizontal="center" vertical="center"/>
      <protection locked="0"/>
    </xf>
    <xf numFmtId="0" fontId="8" fillId="0" borderId="4" xfId="0" applyFont="1" applyBorder="1"/>
    <xf numFmtId="0" fontId="8" fillId="0" borderId="6" xfId="0" applyFont="1" applyBorder="1"/>
    <xf numFmtId="0" fontId="18" fillId="3" borderId="15" xfId="8" applyBorder="1" applyAlignment="1" applyProtection="1">
      <alignment horizontal="center" vertical="center"/>
      <protection locked="0"/>
    </xf>
    <xf numFmtId="0" fontId="18" fillId="3" borderId="17" xfId="8" applyBorder="1" applyAlignment="1" applyProtection="1">
      <alignment horizontal="center" vertical="center"/>
      <protection locked="0"/>
    </xf>
    <xf numFmtId="0" fontId="18" fillId="3" borderId="15" xfId="8" applyBorder="1" applyAlignment="1" applyProtection="1">
      <alignment horizontal="center"/>
      <protection locked="0"/>
    </xf>
    <xf numFmtId="0" fontId="18" fillId="3" borderId="16" xfId="8" applyBorder="1" applyAlignment="1" applyProtection="1">
      <alignment horizontal="center"/>
      <protection locked="0"/>
    </xf>
    <xf numFmtId="0" fontId="18" fillId="3" borderId="17" xfId="8" applyBorder="1" applyAlignment="1" applyProtection="1">
      <alignment horizontal="center"/>
      <protection locked="0"/>
    </xf>
    <xf numFmtId="0" fontId="10" fillId="0" borderId="0" xfId="2" applyFont="1" applyAlignment="1">
      <alignment horizontal="center" vertical="center"/>
    </xf>
    <xf numFmtId="0" fontId="10" fillId="0" borderId="2" xfId="2" applyFont="1" applyBorder="1" applyAlignment="1">
      <alignment horizontal="center" vertical="center"/>
    </xf>
    <xf numFmtId="0" fontId="6" fillId="0" borderId="9" xfId="0" applyFont="1" applyBorder="1" applyAlignment="1">
      <alignment horizontal="right" vertical="center"/>
    </xf>
    <xf numFmtId="0" fontId="6" fillId="0" borderId="22" xfId="0" applyFont="1" applyBorder="1" applyAlignment="1">
      <alignment horizontal="right" vertical="center"/>
    </xf>
    <xf numFmtId="0" fontId="8" fillId="0" borderId="5" xfId="0" applyFont="1" applyBorder="1"/>
    <xf numFmtId="0" fontId="7" fillId="0" borderId="7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165" fontId="7" fillId="0" borderId="7" xfId="0" applyNumberFormat="1" applyFont="1" applyBorder="1" applyAlignment="1">
      <alignment vertical="center"/>
    </xf>
    <xf numFmtId="165" fontId="7" fillId="0" borderId="0" xfId="0" applyNumberFormat="1" applyFont="1" applyAlignment="1">
      <alignment vertical="center"/>
    </xf>
    <xf numFmtId="0" fontId="19" fillId="2" borderId="0" xfId="0" applyFont="1" applyFill="1" applyAlignment="1">
      <alignment horizontal="center" vertical="center"/>
    </xf>
    <xf numFmtId="3" fontId="7" fillId="0" borderId="7" xfId="1" applyNumberFormat="1" applyFont="1" applyBorder="1" applyAlignment="1">
      <alignment horizontal="left" vertical="center"/>
    </xf>
    <xf numFmtId="3" fontId="7" fillId="0" borderId="0" xfId="1" applyNumberFormat="1" applyFont="1" applyAlignment="1">
      <alignment horizontal="left" vertical="center"/>
    </xf>
    <xf numFmtId="0" fontId="18" fillId="3" borderId="7" xfId="8" applyBorder="1" applyAlignment="1" applyProtection="1">
      <alignment horizontal="center" vertical="center"/>
      <protection locked="0"/>
    </xf>
    <xf numFmtId="0" fontId="18" fillId="3" borderId="0" xfId="8" applyBorder="1" applyAlignment="1" applyProtection="1">
      <alignment horizontal="center" vertical="center"/>
      <protection locked="0"/>
    </xf>
    <xf numFmtId="0" fontId="18" fillId="3" borderId="2" xfId="8" applyBorder="1" applyAlignment="1" applyProtection="1">
      <alignment horizontal="center" vertical="center"/>
      <protection locked="0"/>
    </xf>
    <xf numFmtId="167" fontId="18" fillId="3" borderId="7" xfId="8" applyNumberFormat="1" applyBorder="1" applyAlignment="1" applyProtection="1">
      <alignment horizontal="center" vertical="center"/>
      <protection locked="0"/>
    </xf>
    <xf numFmtId="167" fontId="18" fillId="3" borderId="0" xfId="8" applyNumberFormat="1" applyBorder="1" applyAlignment="1" applyProtection="1">
      <alignment horizontal="center" vertical="center"/>
      <protection locked="0"/>
    </xf>
    <xf numFmtId="167" fontId="18" fillId="3" borderId="2" xfId="8" applyNumberFormat="1" applyBorder="1" applyAlignment="1" applyProtection="1">
      <alignment horizontal="center" vertical="center"/>
      <protection locked="0"/>
    </xf>
    <xf numFmtId="0" fontId="18" fillId="3" borderId="4" xfId="8" applyBorder="1" applyAlignment="1">
      <alignment horizontal="left" vertical="center" wrapText="1"/>
    </xf>
    <xf numFmtId="0" fontId="18" fillId="3" borderId="6" xfId="8" applyBorder="1" applyAlignment="1">
      <alignment horizontal="left" vertical="center" wrapText="1"/>
    </xf>
    <xf numFmtId="0" fontId="18" fillId="3" borderId="5" xfId="8" applyBorder="1" applyAlignment="1">
      <alignment horizontal="left" vertical="center" wrapText="1"/>
    </xf>
    <xf numFmtId="0" fontId="18" fillId="3" borderId="8" xfId="8" applyBorder="1" applyAlignment="1">
      <alignment horizontal="left" vertical="center" wrapText="1"/>
    </xf>
    <xf numFmtId="0" fontId="18" fillId="3" borderId="1" xfId="8" applyBorder="1" applyAlignment="1">
      <alignment horizontal="left" vertical="center" wrapText="1"/>
    </xf>
    <xf numFmtId="0" fontId="18" fillId="3" borderId="3" xfId="8" applyBorder="1" applyAlignment="1">
      <alignment horizontal="left" vertical="center" wrapText="1"/>
    </xf>
    <xf numFmtId="49" fontId="18" fillId="3" borderId="15" xfId="8" applyNumberFormat="1" applyBorder="1" applyAlignment="1">
      <alignment horizontal="center" vertical="center"/>
    </xf>
    <xf numFmtId="49" fontId="18" fillId="3" borderId="16" xfId="8" applyNumberFormat="1" applyBorder="1" applyAlignment="1">
      <alignment horizontal="center" vertical="center"/>
    </xf>
    <xf numFmtId="49" fontId="18" fillId="3" borderId="17" xfId="8" applyNumberFormat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left" vertical="top" wrapText="1"/>
    </xf>
    <xf numFmtId="0" fontId="18" fillId="2" borderId="0" xfId="8" applyFill="1" applyBorder="1" applyAlignment="1">
      <alignment horizontal="center"/>
    </xf>
    <xf numFmtId="0" fontId="29" fillId="0" borderId="0" xfId="2" applyFont="1" applyAlignment="1">
      <alignment horizontal="right" vertical="center"/>
    </xf>
    <xf numFmtId="0" fontId="29" fillId="0" borderId="2" xfId="2" applyFont="1" applyBorder="1" applyAlignment="1">
      <alignment horizontal="right" vertical="center"/>
    </xf>
    <xf numFmtId="0" fontId="18" fillId="2" borderId="0" xfId="8" applyFill="1" applyBorder="1" applyAlignment="1">
      <alignment horizontal="center" vertical="center"/>
    </xf>
    <xf numFmtId="167" fontId="18" fillId="2" borderId="0" xfId="8" applyNumberFormat="1" applyFill="1" applyBorder="1" applyAlignment="1">
      <alignment horizontal="center" vertical="center"/>
    </xf>
    <xf numFmtId="0" fontId="3" fillId="2" borderId="0" xfId="4" applyFill="1" applyBorder="1" applyAlignment="1">
      <alignment horizontal="center" vertical="center"/>
    </xf>
    <xf numFmtId="0" fontId="20" fillId="2" borderId="0" xfId="0" applyFont="1" applyFill="1" applyAlignment="1">
      <alignment horizontal="left" vertical="center" wrapText="1"/>
    </xf>
    <xf numFmtId="0" fontId="8" fillId="0" borderId="8" xfId="0" applyFont="1" applyBorder="1" applyAlignment="1">
      <alignment horizontal="center" vertical="top"/>
    </xf>
    <xf numFmtId="0" fontId="8" fillId="0" borderId="1" xfId="0" applyFont="1" applyBorder="1" applyAlignment="1">
      <alignment horizontal="center" vertical="top"/>
    </xf>
    <xf numFmtId="168" fontId="7" fillId="0" borderId="6" xfId="0" applyNumberFormat="1" applyFont="1" applyBorder="1" applyAlignment="1">
      <alignment horizontal="center" vertical="center"/>
    </xf>
    <xf numFmtId="168" fontId="7" fillId="0" borderId="0" xfId="0" applyNumberFormat="1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2" applyFont="1" applyAlignment="1">
      <alignment horizontal="right" vertical="center"/>
    </xf>
    <xf numFmtId="0" fontId="10" fillId="0" borderId="2" xfId="2" applyFont="1" applyBorder="1" applyAlignment="1">
      <alignment horizontal="right" vertical="center"/>
    </xf>
    <xf numFmtId="0" fontId="7" fillId="0" borderId="0" xfId="0" applyFont="1" applyAlignment="1">
      <alignment vertical="center"/>
    </xf>
  </cellXfs>
  <cellStyles count="9">
    <cellStyle name="Excel_BuiltIn_Hyperlink" xfId="1" xr:uid="{00000000-0005-0000-0000-000000000000}"/>
    <cellStyle name="Good" xfId="8" builtinId="26"/>
    <cellStyle name="Heading" xfId="2" xr:uid="{00000000-0005-0000-0000-000001000000}"/>
    <cellStyle name="Heading1" xfId="3" xr:uid="{00000000-0005-0000-0000-000002000000}"/>
    <cellStyle name="Hyperlink" xfId="4" builtinId="8"/>
    <cellStyle name="Hypertextový odkaz 2" xfId="5" xr:uid="{00000000-0005-0000-0000-000004000000}"/>
    <cellStyle name="Normal" xfId="0" builtinId="0"/>
    <cellStyle name="Result" xfId="6" xr:uid="{00000000-0005-0000-0000-000006000000}"/>
    <cellStyle name="Result2" xfId="7" xr:uid="{00000000-0005-0000-0000-000007000000}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38"/>
        <scheme val="none"/>
      </font>
      <numFmt numFmtId="169" formatCode="[$$-409]#,##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5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8" formatCode="d&quot;. &quot;m&quot;. &quot;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none">
          <fgColor rgb="FF000000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none">
          <fgColor rgb="FF000000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sz val="1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sz val="1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38"/>
        <scheme val="none"/>
      </font>
      <numFmt numFmtId="169" formatCode="[$$-409]#,##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5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8" formatCode="d&quot;. &quot;m&quot;. &quot;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none">
          <fgColor rgb="FF000000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none">
          <fgColor rgb="FF000000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sz val="1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sz val="1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38"/>
        <scheme val="none"/>
      </font>
      <numFmt numFmtId="169" formatCode="[$$-409]#,##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5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8" formatCode="d&quot;. &quot;m&quot;. &quot;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sz val="1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sz val="1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2F528F"/>
      <color rgb="FF0033CC"/>
      <color rgb="FFFFAA01"/>
      <color rgb="FF996600"/>
      <color rgb="FF967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https://api.qrserver.com/v1/create-qr-code/?&amp;data=SPD*1.0*ACC:CZ2062106701002200921129*AM:16178*CC:CZK*DT:20230817*RN:Michal%20Kopl,%20Kopl%20Pro*MSG:Europa%202023%20-%20CENOV&#193;%20NAB&#205;DKA*X-KS:34*X-SS:167*X-VS:20230718&amp;size=120x120&amp;charset-source=UTF-8&amp;charset-target=UTF-8&amp;ecc=L&amp;color=002060&amp;bgcolor=FFFFFF&amp;margin=2&amp;qzone=1&amp;format=png" TargetMode="External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https://api.qrserver.com/v1/create-qr-code/?&amp;data=SPD*1.0*ACC:CZ2062106701002200921129*AM:32355*CC:CZK*DT:20230817*RN:Michal%20Kopl,%20Kopl%20Pro*MSG:Europa%202023%20-%20Z&#193;LOHOV&#193;%20FAKTURA%20Z0122023%20*X-KS:34*X-SS:167*X-VS:20230718&amp;size=120x120&amp;charset-source=UTF-8&amp;charset-target=UTF-8&amp;ecc=L&amp;color=002060&amp;bgcolor=FFFFFF&amp;margin=2&amp;qzone=1&amp;format=png" TargetMode="External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66674</xdr:colOff>
      <xdr:row>1</xdr:row>
      <xdr:rowOff>52799</xdr:rowOff>
    </xdr:from>
    <xdr:to>
      <xdr:col>2</xdr:col>
      <xdr:colOff>804582</xdr:colOff>
      <xdr:row>3</xdr:row>
      <xdr:rowOff>99603</xdr:rowOff>
    </xdr:to>
    <xdr:pic>
      <xdr:nvPicPr>
        <xdr:cNvPr id="1040" name="Obrázek 1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04824" y="319499"/>
          <a:ext cx="737908" cy="580204"/>
        </a:xfrm>
        <a:prstGeom prst="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67235</xdr:colOff>
      <xdr:row>81</xdr:row>
      <xdr:rowOff>78441</xdr:rowOff>
    </xdr:from>
    <xdr:to>
      <xdr:col>10</xdr:col>
      <xdr:colOff>560295</xdr:colOff>
      <xdr:row>83</xdr:row>
      <xdr:rowOff>145678</xdr:rowOff>
    </xdr:to>
    <xdr:cxnSp macro="">
      <xdr:nvCxnSpPr>
        <xdr:cNvPr id="3" name="Přímá spojnice se šipkou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10287000" y="15508941"/>
          <a:ext cx="1098177" cy="43703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82363</xdr:colOff>
      <xdr:row>25</xdr:row>
      <xdr:rowOff>142874</xdr:rowOff>
    </xdr:from>
    <xdr:to>
      <xdr:col>12</xdr:col>
      <xdr:colOff>2057788</xdr:colOff>
      <xdr:row>31</xdr:row>
      <xdr:rowOff>97874</xdr:rowOff>
    </xdr:to>
    <xdr:sp macro="[0]!QRPlatbaZalohy" textlink="">
      <xdr:nvSpPr>
        <xdr:cNvPr id="16" name="Rectangle 15">
          <a:extLst>
            <a:ext uri="{FF2B5EF4-FFF2-40B4-BE49-F238E27FC236}">
              <a16:creationId xmlns:a16="http://schemas.microsoft.com/office/drawing/2014/main" id="{7E279A0D-B377-A13D-FFB5-B2FDC8BFA3BE}"/>
            </a:ext>
          </a:extLst>
        </xdr:cNvPr>
        <xdr:cNvSpPr/>
      </xdr:nvSpPr>
      <xdr:spPr>
        <a:xfrm>
          <a:off x="11540938" y="5162549"/>
          <a:ext cx="2613600" cy="1098000"/>
        </a:xfrm>
        <a:prstGeom prst="rect">
          <a:avLst/>
        </a:prstGeom>
        <a:gradFill flip="none" rotWithShape="1">
          <a:gsLst>
            <a:gs pos="0">
              <a:schemeClr val="accent1">
                <a:lumMod val="7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effectLst>
          <a:glow rad="127000">
            <a:schemeClr val="accent1">
              <a:satMod val="175000"/>
              <a:alpha val="22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0" dist="50800" dir="5400000" sy="-100000" algn="bl" rotWithShape="0"/>
          <a:softEdge rad="1143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320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Tisk do PDF</a:t>
          </a:r>
          <a:endParaRPr lang="en-US" sz="3200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12</xdr:col>
      <xdr:colOff>2028825</xdr:colOff>
      <xdr:row>27</xdr:row>
      <xdr:rowOff>76200</xdr:rowOff>
    </xdr:from>
    <xdr:to>
      <xdr:col>14</xdr:col>
      <xdr:colOff>9525</xdr:colOff>
      <xdr:row>32</xdr:row>
      <xdr:rowOff>161925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90E01D12-5C2B-8EF4-DA66-3411C4B0B735}"/>
            </a:ext>
          </a:extLst>
        </xdr:cNvPr>
        <xdr:cNvCxnSpPr/>
      </xdr:nvCxnSpPr>
      <xdr:spPr>
        <a:xfrm flipH="1">
          <a:off x="14125575" y="5476875"/>
          <a:ext cx="304800" cy="10382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2014609</xdr:colOff>
      <xdr:row>62</xdr:row>
      <xdr:rowOff>0</xdr:rowOff>
    </xdr:from>
    <xdr:to>
      <xdr:col>2</xdr:col>
      <xdr:colOff>3157466</xdr:colOff>
      <xdr:row>67</xdr:row>
      <xdr:rowOff>190357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644F2DF-EF56-5CBD-51F1-2945C3557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2759" y="12068175"/>
          <a:ext cx="1142857" cy="11428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66674</xdr:colOff>
      <xdr:row>1</xdr:row>
      <xdr:rowOff>52799</xdr:rowOff>
    </xdr:from>
    <xdr:to>
      <xdr:col>2</xdr:col>
      <xdr:colOff>804582</xdr:colOff>
      <xdr:row>3</xdr:row>
      <xdr:rowOff>99603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14FAF640-7418-4681-8DAD-8DB2F1C37C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04824" y="319499"/>
          <a:ext cx="737908" cy="580204"/>
        </a:xfrm>
        <a:prstGeom prst="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67235</xdr:colOff>
      <xdr:row>81</xdr:row>
      <xdr:rowOff>78441</xdr:rowOff>
    </xdr:from>
    <xdr:to>
      <xdr:col>10</xdr:col>
      <xdr:colOff>560295</xdr:colOff>
      <xdr:row>83</xdr:row>
      <xdr:rowOff>145678</xdr:rowOff>
    </xdr:to>
    <xdr:cxnSp macro="">
      <xdr:nvCxnSpPr>
        <xdr:cNvPr id="3" name="Přímá spojnice se šipkou 2">
          <a:extLst>
            <a:ext uri="{FF2B5EF4-FFF2-40B4-BE49-F238E27FC236}">
              <a16:creationId xmlns:a16="http://schemas.microsoft.com/office/drawing/2014/main" id="{9A7E5C5F-0EAA-4761-B402-9BBE66439418}"/>
            </a:ext>
          </a:extLst>
        </xdr:cNvPr>
        <xdr:cNvCxnSpPr/>
      </xdr:nvCxnSpPr>
      <xdr:spPr>
        <a:xfrm flipH="1" flipV="1">
          <a:off x="10306610" y="15766116"/>
          <a:ext cx="1102660" cy="43871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549088</xdr:colOff>
      <xdr:row>25</xdr:row>
      <xdr:rowOff>0</xdr:rowOff>
    </xdr:from>
    <xdr:to>
      <xdr:col>13</xdr:col>
      <xdr:colOff>67235</xdr:colOff>
      <xdr:row>30</xdr:row>
      <xdr:rowOff>145676</xdr:rowOff>
    </xdr:to>
    <xdr:sp macro="[0]!QRPlatbaZalohy" textlink="">
      <xdr:nvSpPr>
        <xdr:cNvPr id="4" name="Rectangle 3">
          <a:extLst>
            <a:ext uri="{FF2B5EF4-FFF2-40B4-BE49-F238E27FC236}">
              <a16:creationId xmlns:a16="http://schemas.microsoft.com/office/drawing/2014/main" id="{D65BFC1A-C7BA-42B0-90AA-144DCBE961BC}"/>
            </a:ext>
          </a:extLst>
        </xdr:cNvPr>
        <xdr:cNvSpPr/>
      </xdr:nvSpPr>
      <xdr:spPr>
        <a:xfrm>
          <a:off x="11398063" y="5019675"/>
          <a:ext cx="2613772" cy="1098176"/>
        </a:xfrm>
        <a:prstGeom prst="rect">
          <a:avLst/>
        </a:prstGeom>
        <a:gradFill flip="none" rotWithShape="1">
          <a:gsLst>
            <a:gs pos="0">
              <a:schemeClr val="accent1">
                <a:lumMod val="7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effectLst>
          <a:glow rad="127000">
            <a:schemeClr val="accent1">
              <a:satMod val="175000"/>
              <a:alpha val="22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0" dist="50800" dir="5400000" sy="-100000" algn="bl" rotWithShape="0"/>
          <a:softEdge rad="1143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320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Tisk do PDF</a:t>
          </a:r>
          <a:endParaRPr lang="en-US" sz="3200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2014609</xdr:colOff>
      <xdr:row>62</xdr:row>
      <xdr:rowOff>0</xdr:rowOff>
    </xdr:from>
    <xdr:to>
      <xdr:col>2</xdr:col>
      <xdr:colOff>3157466</xdr:colOff>
      <xdr:row>67</xdr:row>
      <xdr:rowOff>190357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CEFF55E-90CB-B852-D404-B7B48C4AE8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2759" y="12068175"/>
          <a:ext cx="1142857" cy="11428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66674</xdr:colOff>
      <xdr:row>1</xdr:row>
      <xdr:rowOff>52799</xdr:rowOff>
    </xdr:from>
    <xdr:to>
      <xdr:col>2</xdr:col>
      <xdr:colOff>804582</xdr:colOff>
      <xdr:row>3</xdr:row>
      <xdr:rowOff>99603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52E8FF52-38FA-4704-977A-038A4C4720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04824" y="319499"/>
          <a:ext cx="737908" cy="580204"/>
        </a:xfrm>
        <a:prstGeom prst="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67235</xdr:colOff>
      <xdr:row>81</xdr:row>
      <xdr:rowOff>78441</xdr:rowOff>
    </xdr:from>
    <xdr:to>
      <xdr:col>10</xdr:col>
      <xdr:colOff>560295</xdr:colOff>
      <xdr:row>83</xdr:row>
      <xdr:rowOff>145678</xdr:rowOff>
    </xdr:to>
    <xdr:cxnSp macro="">
      <xdr:nvCxnSpPr>
        <xdr:cNvPr id="3" name="Přímá spojnice se šipkou 2">
          <a:extLst>
            <a:ext uri="{FF2B5EF4-FFF2-40B4-BE49-F238E27FC236}">
              <a16:creationId xmlns:a16="http://schemas.microsoft.com/office/drawing/2014/main" id="{1411F2CC-585F-408E-B00D-60E8657F13B6}"/>
            </a:ext>
          </a:extLst>
        </xdr:cNvPr>
        <xdr:cNvCxnSpPr/>
      </xdr:nvCxnSpPr>
      <xdr:spPr>
        <a:xfrm flipH="1" flipV="1">
          <a:off x="10306610" y="15728016"/>
          <a:ext cx="1102660" cy="43871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549088</xdr:colOff>
      <xdr:row>25</xdr:row>
      <xdr:rowOff>0</xdr:rowOff>
    </xdr:from>
    <xdr:to>
      <xdr:col>12</xdr:col>
      <xdr:colOff>1914913</xdr:colOff>
      <xdr:row>30</xdr:row>
      <xdr:rowOff>145676</xdr:rowOff>
    </xdr:to>
    <xdr:sp macro="[0]!QRPlatbaZalohy" textlink="">
      <xdr:nvSpPr>
        <xdr:cNvPr id="4" name="Rectangle 3">
          <a:extLst>
            <a:ext uri="{FF2B5EF4-FFF2-40B4-BE49-F238E27FC236}">
              <a16:creationId xmlns:a16="http://schemas.microsoft.com/office/drawing/2014/main" id="{D3C3B830-2FFF-43E1-ABAB-D259204B8B62}"/>
            </a:ext>
          </a:extLst>
        </xdr:cNvPr>
        <xdr:cNvSpPr/>
      </xdr:nvSpPr>
      <xdr:spPr>
        <a:xfrm>
          <a:off x="11398063" y="5019675"/>
          <a:ext cx="2613600" cy="1098176"/>
        </a:xfrm>
        <a:prstGeom prst="rect">
          <a:avLst/>
        </a:prstGeom>
        <a:gradFill flip="none" rotWithShape="1">
          <a:gsLst>
            <a:gs pos="0">
              <a:schemeClr val="accent1">
                <a:lumMod val="7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effectLst>
          <a:glow rad="127000">
            <a:schemeClr val="accent1">
              <a:satMod val="175000"/>
              <a:alpha val="22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0" dist="50800" dir="5400000" sy="-100000" algn="bl" rotWithShape="0"/>
          <a:softEdge rad="1143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320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Tisk do PDF</a:t>
          </a:r>
          <a:endParaRPr lang="en-US" sz="3200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4</xdr:col>
      <xdr:colOff>530014</xdr:colOff>
      <xdr:row>59</xdr:row>
      <xdr:rowOff>190361</xdr:rowOff>
    </xdr:from>
    <xdr:to>
      <xdr:col>6</xdr:col>
      <xdr:colOff>549063</xdr:colOff>
      <xdr:row>65</xdr:row>
      <xdr:rowOff>177502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600EB3C-3879-4C8A-9EF0-57F76A9B7F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83014">
          <a:off x="7026064" y="11687036"/>
          <a:ext cx="2276474" cy="113014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66674</xdr:colOff>
      <xdr:row>1</xdr:row>
      <xdr:rowOff>52798</xdr:rowOff>
    </xdr:from>
    <xdr:to>
      <xdr:col>2</xdr:col>
      <xdr:colOff>804582</xdr:colOff>
      <xdr:row>3</xdr:row>
      <xdr:rowOff>98998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EA7B6B2D-C5E2-4462-BEDD-909EE426C19C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04824" y="319498"/>
          <a:ext cx="737908" cy="579600"/>
        </a:xfrm>
        <a:prstGeom prst="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12D80B-6CC2-4610-8514-A5046DA118AD}" name="Table1" displayName="Table1" ref="C46:G52" totalsRowShown="0" headerRowDxfId="83" dataDxfId="82" tableBorderDxfId="81">
  <autoFilter ref="C46:G52" xr:uid="{942EB7BC-32C6-4C0C-8DD3-76FB2AF3F5E8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C47:G52">
    <sortCondition ref="C50:C52"/>
  </sortState>
  <tableColumns count="5">
    <tableColumn id="1" xr3:uid="{D7E1FFBC-879E-48BD-A8BC-DA51461E704E}" name="Účelně vynaložené náklady k proplacení" dataDxfId="80"/>
    <tableColumn id="2" xr3:uid="{93567A42-5913-4103-983D-48C699FAC688}" name="MJ" dataDxfId="79"/>
    <tableColumn id="3" xr3:uid="{1AABAF5E-0D13-4C00-8BA0-49463A2D73B4}" name="Jednotek" dataDxfId="78"/>
    <tableColumn id="4" xr3:uid="{42867D44-8522-43D3-9B0D-8D3AC8071CB9}" name="Cena/MJ" dataDxfId="77"/>
    <tableColumn id="5" xr3:uid="{3AC411AF-7B22-4EA4-8AB4-B21871632F0F}" name="Cena" dataDxfId="76">
      <calculatedColumnFormula>IF(AND((C47&lt;&gt;""),(D47&lt;&gt;""),(E47&lt;&gt;""),(F47&lt;&gt;"")),(E47*F47),"")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FEAAEB-77CD-4A64-9CCB-31A0C1805AE2}" name="Table2" displayName="Table2" ref="C19:G42" totalsRowShown="0" headerRowDxfId="75" dataDxfId="74" tableBorderDxfId="73">
  <autoFilter ref="C19:G42" xr:uid="{BB94902E-12DA-41EA-8E46-1BBB5E6AD451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C20:G42">
    <sortCondition ref="C20:C42"/>
  </sortState>
  <tableColumns count="5">
    <tableColumn id="1" xr3:uid="{08490F59-1BCB-40C9-B9F0-4248D616CFAE}" name="Činnost" dataDxfId="72"/>
    <tableColumn id="2" xr3:uid="{5B89D857-C2A2-4F65-B3F8-9F2D1DE39090}" name="MJ" dataDxfId="71"/>
    <tableColumn id="3" xr3:uid="{9AAF7FCD-C560-4CA0-A8D9-E1A061F3C118}" name="Jednotek" dataDxfId="70"/>
    <tableColumn id="4" xr3:uid="{58B1B8AA-2FB9-4700-8B5D-EECBFBB10503}" name="Cena/MJ" dataDxfId="69"/>
    <tableColumn id="5" xr3:uid="{08F1BEEC-B0B3-41CD-8370-B04B2EDAEDBF}" name="Cena" dataDxfId="68">
      <calculatedColumnFormula>IF(AND((C20&lt;&gt;""),(D20&lt;&gt;""),(E20&lt;&gt;""),(F20&lt;&gt;"")),(E20*F20),"")</calculatedColumnFormula>
    </tableColumn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D60C757-CCA9-438E-9153-269AD4120F5B}" name="Tabulka4" displayName="Tabulka4" ref="C15:E16" totalsRowShown="0" headerRowDxfId="67" dataDxfId="66" tableBorderDxfId="65">
  <autoFilter ref="C15:E16" xr:uid="{7AFF13DE-B7FF-4CD5-BE86-88D32D656455}">
    <filterColumn colId="0" hiddenButton="1"/>
    <filterColumn colId="1" hiddenButton="1"/>
    <filterColumn colId="2" hiddenButton="1"/>
  </autoFilter>
  <tableColumns count="3">
    <tableColumn id="1" xr3:uid="{43CF8650-9145-40E9-B5E9-B1CC1EE8B470}" name="Místo" dataDxfId="64">
      <calculatedColumnFormula>L14</calculatedColumnFormula>
    </tableColumn>
    <tableColumn id="2" xr3:uid="{054364DC-E0C5-4BDA-85C8-7185396FFC20}" name="Datum" dataDxfId="63">
      <calculatedColumnFormula>G3</calculatedColumnFormula>
    </tableColumn>
    <tableColumn id="3" xr3:uid="{D84BF79B-09A1-414D-9498-4DC33518A947}" name="Doba dokončení" dataDxfId="62">
      <calculatedColumnFormula>IF(L16=1,L16&amp;" pracovní den",IF(AND(L16&gt;1,L16&lt;5),L16&amp;" pracovních dny",L16&amp;" pracovních dnů"))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04651C-CC52-44CA-AA99-03BD1D98CCBB}" name="Tabulka5" displayName="Tabulka5" ref="F56:G59" headerRowCount="0" totalsRowShown="0" headerRowDxfId="61" dataDxfId="60">
  <tableColumns count="2">
    <tableColumn id="1" xr3:uid="{CDC31601-BE8F-43F5-BF50-EC126EFA5C28}" name="Sloupec1" headerRowDxfId="59" dataDxfId="58"/>
    <tableColumn id="2" xr3:uid="{29B377D8-EB1D-47CF-9F2D-6290F1B57160}" name="Sloupec2" headerRowDxfId="57" dataDxfId="56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3807A5-E4F5-40A8-95C7-C6AFA40CFE34}" name="Table1410" displayName="Table1410" ref="C46:G52" totalsRowShown="0" headerRowDxfId="55" dataDxfId="54" tableBorderDxfId="53">
  <autoFilter ref="C46:G52" xr:uid="{942EB7BC-32C6-4C0C-8DD3-76FB2AF3F5E8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C47:G52">
    <sortCondition ref="C50:C52"/>
  </sortState>
  <tableColumns count="5">
    <tableColumn id="1" xr3:uid="{68BD3E4C-C4B7-4C1C-A8FE-F27A42FBDA95}" name="Účelně vynaložené náklady k proplacení" dataDxfId="52">
      <calculatedColumnFormula>IF(Nabídka!C47&lt;&gt;"",Nabídka!C47,"")</calculatedColumnFormula>
    </tableColumn>
    <tableColumn id="2" xr3:uid="{EA7D269E-060C-4009-B91A-9544425DD986}" name="MJ" dataDxfId="51">
      <calculatedColumnFormula>IF(Nabídka!D47&lt;&gt;"",Nabídka!D47,"")</calculatedColumnFormula>
    </tableColumn>
    <tableColumn id="3" xr3:uid="{F0DC9367-F29A-456A-AC48-5233D63F2C89}" name="Jednotek" dataDxfId="50">
      <calculatedColumnFormula>IF(Nabídka!E47&lt;&gt;"",Nabídka!E47,"")</calculatedColumnFormula>
    </tableColumn>
    <tableColumn id="4" xr3:uid="{DE38E32D-8C2B-4F06-A4BF-28C12F659566}" name="Cena/MJ" dataDxfId="49">
      <calculatedColumnFormula>IF(Nabídka!F47&lt;&gt;"",Nabídka!F47,"")</calculatedColumnFormula>
    </tableColumn>
    <tableColumn id="5" xr3:uid="{3DF307D2-0F63-4331-AEBD-4DBF49CC880A}" name="Cena" dataDxfId="48">
      <calculatedColumnFormula>IF(AND((Nabídka!C47&lt;&gt;""),(Nabídka!D47&lt;&gt;""),(Nabídka!E47&lt;&gt;""),(Nabídka!F47&lt;&gt;"")),(Nabídka!E47*Nabídka!F47),"")</calculatedColumnFormula>
    </tableColumn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235D5AB-E2AF-4FA3-B582-2AA304169A4E}" name="Table2711" displayName="Table2711" ref="C19:G42" totalsRowShown="0" headerRowDxfId="47" dataDxfId="46" tableBorderDxfId="45">
  <autoFilter ref="C19:G42" xr:uid="{BB94902E-12DA-41EA-8E46-1BBB5E6AD451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C20:G39">
    <sortCondition ref="C37:C39"/>
  </sortState>
  <tableColumns count="5">
    <tableColumn id="1" xr3:uid="{26C0E584-ECDF-4E24-96E3-BD834F82221F}" name="Činnost" dataDxfId="44">
      <calculatedColumnFormula>IF(Nabídka!C20&lt;&gt;"",Nabídka!C20,"")</calculatedColumnFormula>
    </tableColumn>
    <tableColumn id="2" xr3:uid="{947C0A13-FFB1-456E-89ED-704A9523BD37}" name="MJ" dataDxfId="43">
      <calculatedColumnFormula>IF(Nabídka!D20&lt;&gt;"",Nabídka!D20,"")</calculatedColumnFormula>
    </tableColumn>
    <tableColumn id="3" xr3:uid="{8D6C3B25-0E95-4F35-A79A-DE73A2973AE1}" name="Jednotek" dataDxfId="42">
      <calculatedColumnFormula>IF(Nabídka!E20&lt;&gt;"",Nabídka!E20,"")</calculatedColumnFormula>
    </tableColumn>
    <tableColumn id="4" xr3:uid="{DD1802B0-7DA8-4BB3-BC1B-8E62F80A0C80}" name="Cena/MJ" dataDxfId="41">
      <calculatedColumnFormula>IF(Nabídka!F20&lt;&gt;"",Nabídka!F20,"")</calculatedColumnFormula>
    </tableColumn>
    <tableColumn id="5" xr3:uid="{61863281-1946-481D-875D-09A5A0C3741F}" name="Cena" dataDxfId="40">
      <calculatedColumnFormula>IF(AND((Nabídka!C20&lt;&gt;""),(Nabídka!D20&lt;&gt;""),(Nabídka!E20&lt;&gt;""),(Nabídka!F20&lt;&gt;"")),(Nabídka!E20*Nabídka!F20),"")</calculatedColumnFormula>
    </tableColumn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731D0D2-88FA-4D3D-87FF-1714C3A4A50A}" name="Tabulka4812" displayName="Tabulka4812" ref="C15:E16" totalsRowShown="0" headerRowDxfId="39" dataDxfId="38" tableBorderDxfId="37">
  <autoFilter ref="C15:E16" xr:uid="{7AFF13DE-B7FF-4CD5-BE86-88D32D656455}">
    <filterColumn colId="0" hiddenButton="1"/>
    <filterColumn colId="1" hiddenButton="1"/>
    <filterColumn colId="2" hiddenButton="1"/>
  </autoFilter>
  <tableColumns count="3">
    <tableColumn id="1" xr3:uid="{4B13F574-B63A-4007-8693-860E95588EAC}" name="Místo" dataDxfId="36">
      <calculatedColumnFormula>Nabídka!C16</calculatedColumnFormula>
    </tableColumn>
    <tableColumn id="2" xr3:uid="{E1E5383A-D348-4373-AAB6-F2A6C7B7DD8F}" name="Datum" dataDxfId="35">
      <calculatedColumnFormula>Nabídka!G3</calculatedColumnFormula>
    </tableColumn>
    <tableColumn id="3" xr3:uid="{A2F0259E-67B2-4CDB-B110-A4512FDA65CF}" name="Execution deadline" dataDxfId="34">
      <calculatedColumnFormula>IF(Nabídka!L16=1,Nabídka!L16&amp;" pracovní den",IF(AND(Nabídka!L16&gt;1,Nabídka!L16&lt;5),Nabídka!L16&amp;" pracovní dny",Nabídka!L16&amp;" pracovních dnů"))</calculatedColumnFormula>
    </tableColumn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ACAD99E-0585-48EB-B46B-CDE1E2A7F479}" name="Tabulka5913" displayName="Tabulka5913" ref="F56:G57" headerRowCount="0" totalsRowShown="0" headerRowDxfId="33" dataDxfId="32">
  <tableColumns count="2">
    <tableColumn id="1" xr3:uid="{C710DF63-5200-4A17-87C2-E3466BCCC5B0}" name="Sloupec1" headerRowDxfId="31" dataDxfId="30"/>
    <tableColumn id="2" xr3:uid="{9C583366-B17E-48A5-A9A3-52C3EFE2085F}" name="Sloupec2" headerRowDxfId="29" dataDxfId="28">
      <calculatedColumnFormula>Nabídka!G55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B06838-D093-45E4-BA18-7029F136E307}" name="Table14" displayName="Table14" ref="C46:G52" totalsRowShown="0" headerRowDxfId="27" dataDxfId="26" tableBorderDxfId="25">
  <autoFilter ref="C46:G52" xr:uid="{942EB7BC-32C6-4C0C-8DD3-76FB2AF3F5E8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C47:G52">
    <sortCondition ref="C50:C52"/>
  </sortState>
  <tableColumns count="5">
    <tableColumn id="1" xr3:uid="{96DBDA59-3FA1-41B6-8A99-CF9EF1EB9975}" name="Účelně vynaložené náklady k proplacení" dataDxfId="24">
      <calculatedColumnFormula>IF(Nabídka!C47&lt;&gt;"",Nabídka!C47,"")</calculatedColumnFormula>
    </tableColumn>
    <tableColumn id="2" xr3:uid="{91028760-9E63-4723-A7FD-99E049E9A7C7}" name="MJ" dataDxfId="23">
      <calculatedColumnFormula>Nabídka!D47</calculatedColumnFormula>
    </tableColumn>
    <tableColumn id="3" xr3:uid="{8F1EA90C-EB6E-48FE-BCA8-0E467828D362}" name="Jednotek" dataDxfId="22">
      <calculatedColumnFormula>IF(Nabídka!E47&lt;&gt;"",Nabídka!E47,"")</calculatedColumnFormula>
    </tableColumn>
    <tableColumn id="4" xr3:uid="{9D26A95B-C0E8-48AF-93BF-3699723F1C2B}" name="Cena/MJ" dataDxfId="21">
      <calculatedColumnFormula>IF(Nabídka!F47&lt;&gt;"",Nabídka!F47,"")</calculatedColumnFormula>
    </tableColumn>
    <tableColumn id="5" xr3:uid="{41197C6D-E92E-4D61-9BCB-5516FB0CD86D}" name="Cena" dataDxfId="20">
      <calculatedColumnFormula>IF(AND((Nabídka!C47&lt;&gt;""),(Nabídka!D47&lt;&gt;""),(Nabídka!E47&lt;&gt;""),(Nabídka!F47&lt;&gt;"")),(Nabídka!E47*Nabídka!F47),"")</calculatedColumnFormula>
    </tableColumn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C170B63-44F4-4A92-8CB6-FADC7BF9E64F}" name="Table27" displayName="Table27" ref="C19:G42" totalsRowShown="0" headerRowDxfId="19" dataDxfId="18" tableBorderDxfId="17">
  <autoFilter ref="C19:G42" xr:uid="{BB94902E-12DA-41EA-8E46-1BBB5E6AD451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C20:G39">
    <sortCondition ref="C37:C39"/>
  </sortState>
  <tableColumns count="5">
    <tableColumn id="1" xr3:uid="{99D46102-1CEE-46C7-A593-B9298A846FE7}" name="Činnost" dataDxfId="16">
      <calculatedColumnFormula>IF(Nabídka!C20&lt;&gt;"",Nabídka!C20,"")</calculatedColumnFormula>
    </tableColumn>
    <tableColumn id="2" xr3:uid="{8B7F672E-8579-496D-930E-876F9D0EF741}" name="MJ" dataDxfId="15">
      <calculatedColumnFormula>IF(Nabídka!D20&lt;&gt;"",Nabídka!D20,"")</calculatedColumnFormula>
    </tableColumn>
    <tableColumn id="3" xr3:uid="{AD9764FA-B317-441F-BCA5-D95CEA276E09}" name="Jednotek" dataDxfId="14">
      <calculatedColumnFormula>IF(Nabídka!E20&lt;&gt;"",Nabídka!E20,"")</calculatedColumnFormula>
    </tableColumn>
    <tableColumn id="4" xr3:uid="{732CB041-B89C-493C-9950-48702770C8D7}" name="Cena/MJ" dataDxfId="13">
      <calculatedColumnFormula>IF(Nabídka!F20&lt;&gt;"",Nabídka!F20,"")</calculatedColumnFormula>
    </tableColumn>
    <tableColumn id="5" xr3:uid="{6567BF52-42A7-45A7-A1CB-A9ED2561DCFE}" name="Cena" dataDxfId="12">
      <calculatedColumnFormula>IF(AND((Nabídka!C20&lt;&gt;""),(Nabídka!D20&lt;&gt;""),(Nabídka!E20&lt;&gt;""),(Nabídka!F20&lt;&gt;"")),(Nabídka!E20*Nabídka!F20),"")</calculatedColumnFormula>
    </tableColumn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CCD2AD5-174B-4490-844C-7930FC50A4AF}" name="Tabulka48" displayName="Tabulka48" ref="C15:E16" totalsRowShown="0" headerRowDxfId="11" dataDxfId="10" tableBorderDxfId="9">
  <autoFilter ref="C15:E16" xr:uid="{7AFF13DE-B7FF-4CD5-BE86-88D32D656455}">
    <filterColumn colId="0" hiddenButton="1"/>
    <filterColumn colId="1" hiddenButton="1"/>
    <filterColumn colId="2" hiddenButton="1"/>
  </autoFilter>
  <tableColumns count="3">
    <tableColumn id="1" xr3:uid="{3C370905-273D-492F-A404-232FEC4A5ED7}" name="Místo" dataDxfId="8">
      <calculatedColumnFormula>Nabídka!C16</calculatedColumnFormula>
    </tableColumn>
    <tableColumn id="2" xr3:uid="{3001C2C5-D289-44CD-8F38-2C4DEFEC243F}" name="Datum" dataDxfId="7">
      <calculatedColumnFormula>Nabídka!G3</calculatedColumnFormula>
    </tableColumn>
    <tableColumn id="3" xr3:uid="{C2944152-FD76-40F7-8E88-0F4D38138988}" name="Execution deadline" dataDxfId="6">
      <calculatedColumnFormula>IF(Nabídka!L16=1,Nabídka!L16&amp;" pracovní den",IF(AND(Nabídka!L16&gt;1,Nabídka!L16&lt;5),Nabídka!L16&amp;" pracovní dny",Nabídka!L16&amp;" pracovních dnů"))</calculatedColumnFormula>
    </tableColumn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68BDA6-AC54-4CE2-85D3-B00A11A896A7}" name="Tabulka59" displayName="Tabulka59" ref="F56:G57" headerRowCount="0" totalsRowShown="0" headerRowDxfId="5" dataDxfId="4">
  <tableColumns count="2">
    <tableColumn id="1" xr3:uid="{CDBF97CB-2714-4019-B3A3-68AA93B61809}" name="Sloupec1" headerRowDxfId="3" dataDxfId="2"/>
    <tableColumn id="2" xr3:uid="{B63C8BF0-DEE0-4120-9B6D-7B3F85C336BD}" name="Sloupec2" headerRowDxfId="1" dataDxfId="0">
      <calculatedColumnFormula>Nabídka!G55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mailto:michal@kopl.pro" TargetMode="External"/><Relationship Id="rId7" Type="http://schemas.openxmlformats.org/officeDocument/2006/relationships/printerSettings" Target="../printerSettings/printerSettings1.bin"/><Relationship Id="rId12" Type="http://schemas.openxmlformats.org/officeDocument/2006/relationships/table" Target="../tables/table4.xml"/><Relationship Id="rId2" Type="http://schemas.openxmlformats.org/officeDocument/2006/relationships/hyperlink" Target="mailto:jan.novak@seznam.cz" TargetMode="External"/><Relationship Id="rId1" Type="http://schemas.openxmlformats.org/officeDocument/2006/relationships/hyperlink" Target="mailto:michal@kopl.pro" TargetMode="External"/><Relationship Id="rId6" Type="http://schemas.openxmlformats.org/officeDocument/2006/relationships/hyperlink" Target="mailto:jan.novak@seznam.cz" TargetMode="External"/><Relationship Id="rId11" Type="http://schemas.openxmlformats.org/officeDocument/2006/relationships/table" Target="../tables/table3.xml"/><Relationship Id="rId5" Type="http://schemas.openxmlformats.org/officeDocument/2006/relationships/hyperlink" Target="https://www.cnb.cz/en/payments/iban/iban-calculator-czech-republic/" TargetMode="External"/><Relationship Id="rId10" Type="http://schemas.openxmlformats.org/officeDocument/2006/relationships/table" Target="../tables/table2.xml"/><Relationship Id="rId4" Type="http://schemas.openxmlformats.org/officeDocument/2006/relationships/hyperlink" Target="https://www.kopl.pro/" TargetMode="Externa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8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chal@kopl.pro" TargetMode="Externa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table" Target="../tables/table1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ichal@kopl.pro" TargetMode="Externa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C119"/>
  <sheetViews>
    <sheetView tabSelected="1" zoomScaleNormal="100" zoomScalePageLayoutView="25" workbookViewId="0">
      <selection activeCell="L65" sqref="L65"/>
    </sheetView>
  </sheetViews>
  <sheetFormatPr defaultColWidth="9.140625" defaultRowHeight="14.25" x14ac:dyDescent="0.25"/>
  <cols>
    <col min="1" max="2" width="3.28515625" style="1" customWidth="1"/>
    <col min="3" max="3" width="77.5703125" style="1" bestFit="1" customWidth="1"/>
    <col min="4" max="4" width="13.28515625" style="1" customWidth="1"/>
    <col min="5" max="5" width="20.42578125" style="1" customWidth="1"/>
    <col min="6" max="6" width="13.42578125" style="1" bestFit="1" customWidth="1"/>
    <col min="7" max="7" width="15.7109375" style="1" customWidth="1"/>
    <col min="8" max="9" width="3.28515625" style="1" customWidth="1"/>
    <col min="10" max="11" width="9.140625" style="1"/>
    <col min="12" max="12" width="9.5703125" style="1" customWidth="1"/>
    <col min="13" max="13" width="32.7109375" style="1" bestFit="1" customWidth="1"/>
    <col min="14" max="14" width="2.140625" style="1" customWidth="1"/>
    <col min="15" max="15" width="24.28515625" style="1" customWidth="1"/>
    <col min="16" max="16" width="2.28515625" style="1" customWidth="1"/>
    <col min="17" max="17" width="9.140625" style="1"/>
    <col min="18" max="18" width="12.140625" style="1" bestFit="1" customWidth="1"/>
    <col min="19" max="19" width="9.140625" style="1"/>
    <col min="20" max="20" width="21.28515625" style="1" customWidth="1"/>
    <col min="21" max="25" width="9.140625" style="1"/>
    <col min="26" max="26" width="14.42578125" style="1" bestFit="1" customWidth="1"/>
    <col min="27" max="16384" width="9.140625" style="1"/>
  </cols>
  <sheetData>
    <row r="1" spans="1:26" ht="21" thickBot="1" x14ac:dyDescent="0.3">
      <c r="A1" s="20"/>
      <c r="B1" s="20"/>
      <c r="C1" s="20"/>
      <c r="D1" s="20"/>
      <c r="E1" s="20"/>
      <c r="F1" s="20"/>
      <c r="G1" s="20"/>
      <c r="H1" s="20"/>
      <c r="I1" s="20"/>
      <c r="L1" s="146" t="s">
        <v>124</v>
      </c>
      <c r="M1" s="12"/>
      <c r="N1" s="12"/>
      <c r="O1" s="12"/>
      <c r="P1" s="12"/>
    </row>
    <row r="2" spans="1:26" ht="21" customHeight="1" thickTop="1" x14ac:dyDescent="0.25">
      <c r="A2" s="20"/>
      <c r="B2" s="182" t="s">
        <v>4</v>
      </c>
      <c r="C2" s="182"/>
      <c r="D2" s="183"/>
      <c r="E2" s="163" t="s">
        <v>5</v>
      </c>
      <c r="F2" s="164"/>
      <c r="G2" s="21">
        <f ca="1">DATE(YEAR(TODAY()),MONTH(TODAY()),DAY(TODAY()))</f>
        <v>45157</v>
      </c>
      <c r="H2" s="22"/>
      <c r="I2" s="20"/>
      <c r="T2" s="16"/>
    </row>
    <row r="3" spans="1:26" ht="21" customHeight="1" x14ac:dyDescent="0.25">
      <c r="A3" s="20"/>
      <c r="B3" s="182"/>
      <c r="C3" s="182"/>
      <c r="D3" s="183"/>
      <c r="E3" s="161" t="s">
        <v>6</v>
      </c>
      <c r="F3" s="162"/>
      <c r="G3" s="24">
        <f ca="1">G2+30</f>
        <v>45187</v>
      </c>
      <c r="H3" s="25"/>
      <c r="I3" s="20"/>
      <c r="L3" s="10" t="s">
        <v>23</v>
      </c>
      <c r="T3" s="16"/>
    </row>
    <row r="4" spans="1:26" ht="15.75" customHeight="1" thickBot="1" x14ac:dyDescent="0.3">
      <c r="A4" s="20"/>
      <c r="B4" s="182"/>
      <c r="C4" s="182"/>
      <c r="D4" s="183"/>
      <c r="E4" s="165" t="str">
        <f>"Název projektu: "&amp;L5</f>
        <v>Název projektu: Europa 2023</v>
      </c>
      <c r="F4" s="166"/>
      <c r="G4" s="166"/>
      <c r="H4" s="26"/>
      <c r="I4" s="20"/>
      <c r="L4" s="170" t="s">
        <v>7</v>
      </c>
      <c r="M4" s="170"/>
      <c r="N4" s="170"/>
      <c r="O4" s="170"/>
    </row>
    <row r="5" spans="1:26" s="150" customFormat="1" ht="16.5" customHeight="1" thickTop="1" thickBot="1" x14ac:dyDescent="0.3">
      <c r="A5" s="148"/>
      <c r="B5" s="175" t="str">
        <f>"      Dodavatel:"</f>
        <v xml:space="preserve">      Dodavatel:</v>
      </c>
      <c r="C5" s="186"/>
      <c r="D5" s="175" t="str">
        <f>"      Zákazník:"</f>
        <v xml:space="preserve">      Zákazník:</v>
      </c>
      <c r="E5" s="176"/>
      <c r="F5" s="176"/>
      <c r="G5" s="176"/>
      <c r="H5" s="149"/>
      <c r="I5" s="148"/>
      <c r="L5" s="179" t="s">
        <v>112</v>
      </c>
      <c r="M5" s="180"/>
      <c r="N5" s="180"/>
      <c r="O5" s="181"/>
      <c r="Z5" s="151"/>
    </row>
    <row r="6" spans="1:26" ht="15" customHeight="1" thickTop="1" thickBot="1" x14ac:dyDescent="0.3">
      <c r="A6" s="20"/>
      <c r="B6" s="187" t="str">
        <f>"      "&amp;Q7</f>
        <v xml:space="preserve">      Michal Kopl, Kopl Pro</v>
      </c>
      <c r="C6" s="188"/>
      <c r="D6" s="189" t="str">
        <f>"      "&amp;L7</f>
        <v xml:space="preserve">      Jan Novák, Grand Hotel EUROPA</v>
      </c>
      <c r="E6" s="190"/>
      <c r="F6" s="190"/>
      <c r="G6" s="190"/>
      <c r="H6" s="25"/>
      <c r="I6" s="20"/>
      <c r="L6" s="171" t="s">
        <v>8</v>
      </c>
      <c r="M6" s="171"/>
      <c r="N6" s="171"/>
      <c r="O6" s="171"/>
      <c r="Q6" s="191" t="s">
        <v>9</v>
      </c>
      <c r="R6" s="191"/>
      <c r="S6" s="191"/>
      <c r="T6" s="191"/>
    </row>
    <row r="7" spans="1:26" ht="15" customHeight="1" thickTop="1" x14ac:dyDescent="0.25">
      <c r="A7" s="20"/>
      <c r="B7" s="187" t="str">
        <f>"      "&amp;Q8&amp;", "&amp;Q9</f>
        <v xml:space="preserve">      Krškova 783/15, Praha 5 - Hlubočepy, Česká Republika, 152 00</v>
      </c>
      <c r="C7" s="188"/>
      <c r="D7" s="189" t="str">
        <f>"      "&amp;L8</f>
        <v xml:space="preserve">      Václavské nám. 378, Praha 1 - Nové Město</v>
      </c>
      <c r="E7" s="190"/>
      <c r="F7" s="190"/>
      <c r="G7" s="190"/>
      <c r="H7" s="25"/>
      <c r="I7" s="20"/>
      <c r="L7" s="167" t="s">
        <v>107</v>
      </c>
      <c r="M7" s="168"/>
      <c r="N7" s="168"/>
      <c r="O7" s="169"/>
      <c r="Q7" s="167" t="s">
        <v>123</v>
      </c>
      <c r="R7" s="168"/>
      <c r="S7" s="168"/>
      <c r="T7" s="169"/>
    </row>
    <row r="8" spans="1:26" ht="15" customHeight="1" x14ac:dyDescent="0.25">
      <c r="A8" s="20"/>
      <c r="B8" s="187" t="str">
        <f>"      "&amp;Q10&amp;" , "&amp;Q11&amp;" , "&amp;Q14</f>
        <v xml:space="preserve">      +420 777 062 425 , michal@kopl.pro , https://www.kopl.pro</v>
      </c>
      <c r="C8" s="188"/>
      <c r="D8" s="189" t="str">
        <f>"      "&amp;L9</f>
        <v xml:space="preserve">      Česká Republika, 110 00</v>
      </c>
      <c r="E8" s="190"/>
      <c r="F8" s="190"/>
      <c r="G8" s="190"/>
      <c r="H8" s="25"/>
      <c r="I8" s="20"/>
      <c r="L8" s="194" t="s">
        <v>109</v>
      </c>
      <c r="M8" s="195"/>
      <c r="N8" s="195"/>
      <c r="O8" s="196"/>
      <c r="Q8" s="194" t="s">
        <v>46</v>
      </c>
      <c r="R8" s="195"/>
      <c r="S8" s="195"/>
      <c r="T8" s="196"/>
    </row>
    <row r="9" spans="1:26" ht="15" customHeight="1" x14ac:dyDescent="0.25">
      <c r="A9" s="20"/>
      <c r="B9" s="187" t="str">
        <f>"      "&amp;"b.ú.: "&amp;Q12&amp;",     IBAN: "&amp;Q13</f>
        <v xml:space="preserve">      b.ú.: 670100-2200921129/6210,     IBAN: CZ2062106701002200921129</v>
      </c>
      <c r="C9" s="188"/>
      <c r="D9" s="189" t="str">
        <f>"      "&amp;L10&amp;"   /   "&amp;L11</f>
        <v xml:space="preserve">      +420 999 999 999   /   jan.novak@seznam.cz</v>
      </c>
      <c r="E9" s="190"/>
      <c r="F9" s="190"/>
      <c r="G9" s="190"/>
      <c r="H9" s="25"/>
      <c r="I9" s="20"/>
      <c r="L9" s="197" t="s">
        <v>108</v>
      </c>
      <c r="M9" s="198"/>
      <c r="N9" s="198"/>
      <c r="O9" s="199"/>
      <c r="P9" s="9"/>
      <c r="Q9" s="194" t="s">
        <v>45</v>
      </c>
      <c r="R9" s="195"/>
      <c r="S9" s="195"/>
      <c r="T9" s="196"/>
    </row>
    <row r="10" spans="1:26" ht="15" customHeight="1" x14ac:dyDescent="0.25">
      <c r="A10" s="20"/>
      <c r="B10" s="187" t="str">
        <f>"      "&amp;Q15</f>
        <v xml:space="preserve">      IČO: 03217213</v>
      </c>
      <c r="C10" s="188"/>
      <c r="D10" s="192" t="str">
        <f>"      "&amp;L12</f>
        <v xml:space="preserve">      IČO: 12345678</v>
      </c>
      <c r="E10" s="193"/>
      <c r="F10" s="193"/>
      <c r="G10" s="193"/>
      <c r="H10" s="25"/>
      <c r="I10" s="20"/>
      <c r="L10" s="194" t="str">
        <f>"+420 999 999 999"</f>
        <v>+420 999 999 999</v>
      </c>
      <c r="M10" s="195"/>
      <c r="N10" s="195"/>
      <c r="O10" s="196"/>
      <c r="Q10" s="194" t="str">
        <f>"+420 777 062 425"</f>
        <v>+420 777 062 425</v>
      </c>
      <c r="R10" s="195"/>
      <c r="S10" s="195"/>
      <c r="T10" s="196"/>
    </row>
    <row r="11" spans="1:26" ht="15" customHeight="1" thickBot="1" x14ac:dyDescent="0.3">
      <c r="A11" s="20"/>
      <c r="B11" s="30"/>
      <c r="C11" s="19"/>
      <c r="D11" s="27"/>
      <c r="E11" s="20"/>
      <c r="F11" s="31"/>
      <c r="G11" s="31"/>
      <c r="H11" s="25"/>
      <c r="I11" s="20"/>
      <c r="L11" s="194" t="s">
        <v>106</v>
      </c>
      <c r="M11" s="195"/>
      <c r="N11" s="195"/>
      <c r="O11" s="196"/>
      <c r="Q11" s="194" t="s">
        <v>47</v>
      </c>
      <c r="R11" s="195"/>
      <c r="S11" s="195"/>
      <c r="T11" s="196"/>
    </row>
    <row r="12" spans="1:26" ht="15" customHeight="1" thickTop="1" thickBot="1" x14ac:dyDescent="0.3">
      <c r="A12" s="20"/>
      <c r="B12" s="32"/>
      <c r="C12" s="33"/>
      <c r="D12" s="34"/>
      <c r="E12" s="34"/>
      <c r="F12" s="35"/>
      <c r="G12" s="35"/>
      <c r="H12" s="22"/>
      <c r="I12" s="20"/>
      <c r="L12" s="172" t="s">
        <v>110</v>
      </c>
      <c r="M12" s="173"/>
      <c r="N12" s="173"/>
      <c r="O12" s="174"/>
      <c r="Q12" s="194" t="s">
        <v>1</v>
      </c>
      <c r="R12" s="195"/>
      <c r="S12" s="195"/>
      <c r="T12" s="196"/>
    </row>
    <row r="13" spans="1:26" ht="15" customHeight="1" thickTop="1" thickBot="1" x14ac:dyDescent="0.3">
      <c r="A13" s="20"/>
      <c r="B13" s="27"/>
      <c r="C13" s="23"/>
      <c r="D13" s="29"/>
      <c r="E13" s="29"/>
      <c r="F13" s="31"/>
      <c r="G13" s="31"/>
      <c r="H13" s="25"/>
      <c r="I13" s="20"/>
      <c r="L13" s="209" t="s">
        <v>96</v>
      </c>
      <c r="M13" s="209"/>
      <c r="N13" s="209"/>
      <c r="O13" s="209"/>
      <c r="Q13" s="194" t="s">
        <v>2</v>
      </c>
      <c r="R13" s="195"/>
      <c r="S13" s="195"/>
      <c r="T13" s="196"/>
      <c r="U13" s="18" t="str">
        <f>" Kalkulátor IBAN kódu pro použití v QR kódech"</f>
        <v xml:space="preserve"> Kalkulátor IBAN kódu pro použití v QR kódech</v>
      </c>
    </row>
    <row r="14" spans="1:26" ht="15" customHeight="1" thickTop="1" thickBot="1" x14ac:dyDescent="0.3">
      <c r="A14" s="20"/>
      <c r="B14" s="27"/>
      <c r="C14" s="20"/>
      <c r="D14" s="36"/>
      <c r="E14" s="28"/>
      <c r="F14" s="31"/>
      <c r="G14" s="31"/>
      <c r="H14" s="25"/>
      <c r="I14" s="20"/>
      <c r="L14" s="206" t="s">
        <v>95</v>
      </c>
      <c r="M14" s="207"/>
      <c r="N14" s="207"/>
      <c r="O14" s="208"/>
      <c r="Q14" s="194" t="s">
        <v>48</v>
      </c>
      <c r="R14" s="195"/>
      <c r="S14" s="195"/>
      <c r="T14" s="196"/>
    </row>
    <row r="15" spans="1:26" ht="15" customHeight="1" thickTop="1" thickBot="1" x14ac:dyDescent="0.3">
      <c r="A15" s="20"/>
      <c r="B15" s="27"/>
      <c r="C15" s="37" t="s">
        <v>10</v>
      </c>
      <c r="D15" s="38" t="s">
        <v>11</v>
      </c>
      <c r="E15" s="39" t="s">
        <v>12</v>
      </c>
      <c r="F15" s="40"/>
      <c r="G15" s="31"/>
      <c r="H15" s="25"/>
      <c r="I15" s="20"/>
      <c r="Q15" s="172" t="s">
        <v>94</v>
      </c>
      <c r="R15" s="173"/>
      <c r="S15" s="173"/>
      <c r="T15" s="174"/>
    </row>
    <row r="16" spans="1:26" ht="15" customHeight="1" thickTop="1" thickBot="1" x14ac:dyDescent="0.3">
      <c r="A16" s="20"/>
      <c r="B16" s="27"/>
      <c r="C16" s="72" t="str">
        <f>L14</f>
        <v>Full Remote</v>
      </c>
      <c r="D16" s="41">
        <f ca="1">G3</f>
        <v>45187</v>
      </c>
      <c r="E16" s="42" t="str">
        <f>IF(L16=1,L16&amp;" pracovní den",IF(AND(L16&gt;1,L16&lt;5),L16&amp;" pracovních dny",L16&amp;" pracovních dnů"))</f>
        <v>120 pracovních dnů</v>
      </c>
      <c r="F16" s="43"/>
      <c r="G16" s="31"/>
      <c r="H16" s="25"/>
      <c r="I16" s="20"/>
      <c r="L16" s="143">
        <v>120</v>
      </c>
      <c r="M16" s="10" t="s">
        <v>97</v>
      </c>
      <c r="T16" s="5"/>
    </row>
    <row r="17" spans="1:24" ht="15" customHeight="1" thickTop="1" x14ac:dyDescent="0.25">
      <c r="A17" s="20"/>
      <c r="B17" s="27"/>
      <c r="C17" s="20"/>
      <c r="D17" s="44"/>
      <c r="E17" s="28"/>
      <c r="F17" s="31"/>
      <c r="G17" s="31"/>
      <c r="H17" s="25"/>
      <c r="I17" s="20"/>
      <c r="T17" s="6"/>
    </row>
    <row r="18" spans="1:24" ht="15" customHeight="1" x14ac:dyDescent="0.25">
      <c r="A18" s="20"/>
      <c r="B18" s="27"/>
      <c r="C18" s="37"/>
      <c r="D18" s="37"/>
      <c r="E18" s="45"/>
      <c r="F18" s="31"/>
      <c r="G18" s="31"/>
      <c r="H18" s="25"/>
      <c r="I18" s="20"/>
    </row>
    <row r="19" spans="1:24" ht="15" customHeight="1" x14ac:dyDescent="0.25">
      <c r="A19" s="20"/>
      <c r="B19" s="27"/>
      <c r="C19" s="20" t="s">
        <v>13</v>
      </c>
      <c r="D19" s="46" t="s">
        <v>14</v>
      </c>
      <c r="E19" s="42" t="s">
        <v>15</v>
      </c>
      <c r="F19" s="47" t="s">
        <v>17</v>
      </c>
      <c r="G19" s="47" t="s">
        <v>16</v>
      </c>
      <c r="H19" s="48"/>
      <c r="I19" s="20"/>
      <c r="L19" s="10" t="s">
        <v>98</v>
      </c>
    </row>
    <row r="20" spans="1:24" ht="15" customHeight="1" x14ac:dyDescent="0.25">
      <c r="A20" s="20"/>
      <c r="B20" s="27"/>
      <c r="C20" s="101" t="s">
        <v>53</v>
      </c>
      <c r="D20" s="102" t="s">
        <v>86</v>
      </c>
      <c r="E20" s="102">
        <v>2</v>
      </c>
      <c r="F20" s="125">
        <v>50</v>
      </c>
      <c r="G20" s="126">
        <f t="shared" ref="G20:G42" si="0">IF(AND((C20&lt;&gt;""),(D20&lt;&gt;""),(E20&lt;&gt;""),(F20&lt;&gt;"")),(E20*F20),"")</f>
        <v>100</v>
      </c>
      <c r="H20" s="48"/>
      <c r="I20" s="20"/>
      <c r="L20" s="1" t="s">
        <v>24</v>
      </c>
      <c r="W20" s="71"/>
    </row>
    <row r="21" spans="1:24" ht="15" customHeight="1" x14ac:dyDescent="0.25">
      <c r="A21" s="20"/>
      <c r="B21" s="27"/>
      <c r="C21" s="101" t="s">
        <v>52</v>
      </c>
      <c r="D21" s="102" t="s">
        <v>57</v>
      </c>
      <c r="E21" s="102">
        <v>2</v>
      </c>
      <c r="F21" s="125">
        <v>50</v>
      </c>
      <c r="G21" s="126">
        <f t="shared" si="0"/>
        <v>100</v>
      </c>
      <c r="H21" s="48"/>
      <c r="I21" s="20"/>
      <c r="L21" s="1" t="s">
        <v>113</v>
      </c>
      <c r="M21" s="7"/>
      <c r="W21" s="71"/>
    </row>
    <row r="22" spans="1:24" ht="15" customHeight="1" x14ac:dyDescent="0.25">
      <c r="A22" s="20"/>
      <c r="B22" s="27"/>
      <c r="C22" s="101" t="s">
        <v>59</v>
      </c>
      <c r="D22" s="102" t="s">
        <v>62</v>
      </c>
      <c r="E22" s="102">
        <v>2</v>
      </c>
      <c r="F22" s="125">
        <v>100</v>
      </c>
      <c r="G22" s="126">
        <f t="shared" si="0"/>
        <v>200</v>
      </c>
      <c r="H22" s="48"/>
      <c r="I22" s="20"/>
      <c r="L22" s="10" t="s">
        <v>105</v>
      </c>
      <c r="M22" s="7"/>
      <c r="W22" s="71"/>
    </row>
    <row r="23" spans="1:24" ht="15" customHeight="1" x14ac:dyDescent="0.25">
      <c r="A23" s="20"/>
      <c r="B23" s="27"/>
      <c r="C23" s="101" t="s">
        <v>51</v>
      </c>
      <c r="D23" s="102" t="s">
        <v>56</v>
      </c>
      <c r="E23" s="102">
        <v>1</v>
      </c>
      <c r="F23" s="125">
        <v>50</v>
      </c>
      <c r="G23" s="126">
        <f t="shared" si="0"/>
        <v>50</v>
      </c>
      <c r="H23" s="48"/>
      <c r="I23" s="20"/>
      <c r="L23" s="10"/>
      <c r="M23" s="7"/>
      <c r="W23" s="71"/>
    </row>
    <row r="24" spans="1:24" ht="15" customHeight="1" x14ac:dyDescent="0.25">
      <c r="A24" s="20"/>
      <c r="B24" s="27"/>
      <c r="C24" s="101" t="s">
        <v>88</v>
      </c>
      <c r="D24" s="102" t="s">
        <v>49</v>
      </c>
      <c r="E24" s="102">
        <v>2</v>
      </c>
      <c r="F24" s="125">
        <v>50</v>
      </c>
      <c r="G24" s="126">
        <f t="shared" si="0"/>
        <v>100</v>
      </c>
      <c r="H24" s="48"/>
      <c r="I24" s="20"/>
      <c r="M24" s="7"/>
      <c r="W24" s="71"/>
    </row>
    <row r="25" spans="1:24" ht="15" customHeight="1" x14ac:dyDescent="0.25">
      <c r="A25" s="20"/>
      <c r="B25" s="27"/>
      <c r="C25" s="101" t="s">
        <v>54</v>
      </c>
      <c r="D25" s="102" t="s">
        <v>63</v>
      </c>
      <c r="E25" s="102">
        <v>2</v>
      </c>
      <c r="F25" s="125">
        <v>50</v>
      </c>
      <c r="G25" s="126">
        <f t="shared" si="0"/>
        <v>100</v>
      </c>
      <c r="H25" s="48"/>
      <c r="I25" s="20"/>
      <c r="L25" s="10" t="s">
        <v>99</v>
      </c>
      <c r="M25" s="7"/>
      <c r="W25" s="71"/>
    </row>
    <row r="26" spans="1:24" ht="15" customHeight="1" x14ac:dyDescent="0.25">
      <c r="A26" s="20"/>
      <c r="B26" s="27"/>
      <c r="C26" s="101" t="s">
        <v>72</v>
      </c>
      <c r="D26" s="102" t="s">
        <v>64</v>
      </c>
      <c r="E26" s="102">
        <v>2</v>
      </c>
      <c r="F26" s="125">
        <v>300</v>
      </c>
      <c r="G26" s="126">
        <f t="shared" si="0"/>
        <v>600</v>
      </c>
      <c r="H26" s="48"/>
      <c r="I26" s="20"/>
      <c r="M26" s="7"/>
      <c r="O26" s="210" t="s">
        <v>111</v>
      </c>
      <c r="P26" s="210"/>
      <c r="Q26" s="210"/>
      <c r="R26" s="210"/>
      <c r="S26" s="210"/>
      <c r="T26" s="210"/>
      <c r="U26" s="210"/>
      <c r="V26" s="152"/>
      <c r="W26" s="152"/>
      <c r="X26" s="152"/>
    </row>
    <row r="27" spans="1:24" ht="15" customHeight="1" x14ac:dyDescent="0.25">
      <c r="A27" s="20"/>
      <c r="B27" s="27"/>
      <c r="C27" s="101" t="s">
        <v>68</v>
      </c>
      <c r="D27" s="102" t="s">
        <v>55</v>
      </c>
      <c r="E27" s="102">
        <v>2</v>
      </c>
      <c r="F27" s="125">
        <v>500</v>
      </c>
      <c r="G27" s="126">
        <f t="shared" si="0"/>
        <v>1000</v>
      </c>
      <c r="H27" s="48"/>
      <c r="I27" s="20"/>
      <c r="M27" s="7"/>
      <c r="O27" s="210"/>
      <c r="P27" s="210"/>
      <c r="Q27" s="210"/>
      <c r="R27" s="210"/>
      <c r="S27" s="210"/>
      <c r="T27" s="210"/>
      <c r="U27" s="210"/>
      <c r="V27" s="152"/>
      <c r="W27" s="152"/>
      <c r="X27" s="152"/>
    </row>
    <row r="28" spans="1:24" ht="15" customHeight="1" x14ac:dyDescent="0.25">
      <c r="A28" s="20"/>
      <c r="B28" s="27"/>
      <c r="C28" s="101" t="s">
        <v>71</v>
      </c>
      <c r="D28" s="102" t="s">
        <v>65</v>
      </c>
      <c r="E28" s="102">
        <v>2</v>
      </c>
      <c r="F28" s="125">
        <v>50</v>
      </c>
      <c r="G28" s="126">
        <f t="shared" si="0"/>
        <v>100</v>
      </c>
      <c r="H28" s="48"/>
      <c r="I28" s="20"/>
      <c r="M28" s="7"/>
      <c r="O28" s="210"/>
      <c r="P28" s="210"/>
      <c r="Q28" s="210"/>
      <c r="R28" s="210"/>
      <c r="S28" s="210"/>
      <c r="T28" s="210"/>
      <c r="U28" s="210"/>
      <c r="V28" s="152"/>
      <c r="W28" s="152"/>
      <c r="X28" s="152"/>
    </row>
    <row r="29" spans="1:24" ht="15" customHeight="1" x14ac:dyDescent="0.25">
      <c r="A29" s="20"/>
      <c r="B29" s="27"/>
      <c r="C29" s="103" t="s">
        <v>69</v>
      </c>
      <c r="D29" s="102" t="s">
        <v>55</v>
      </c>
      <c r="E29" s="102">
        <v>3</v>
      </c>
      <c r="F29" s="125">
        <v>500</v>
      </c>
      <c r="G29" s="126">
        <f t="shared" si="0"/>
        <v>1500</v>
      </c>
      <c r="H29" s="48"/>
      <c r="I29" s="20"/>
      <c r="M29" s="7"/>
      <c r="O29" s="210"/>
      <c r="P29" s="210"/>
      <c r="Q29" s="210"/>
      <c r="R29" s="210"/>
      <c r="S29" s="210"/>
      <c r="T29" s="210"/>
      <c r="U29" s="210"/>
      <c r="V29" s="152"/>
      <c r="W29" s="152"/>
      <c r="X29" s="152"/>
    </row>
    <row r="30" spans="1:24" ht="15" customHeight="1" x14ac:dyDescent="0.25">
      <c r="A30" s="20"/>
      <c r="B30" s="27"/>
      <c r="C30" s="101" t="s">
        <v>58</v>
      </c>
      <c r="D30" s="102" t="s">
        <v>75</v>
      </c>
      <c r="E30" s="102">
        <v>2</v>
      </c>
      <c r="F30" s="125">
        <v>1500</v>
      </c>
      <c r="G30" s="126">
        <f t="shared" si="0"/>
        <v>3000</v>
      </c>
      <c r="H30" s="48"/>
      <c r="I30" s="20"/>
      <c r="M30" s="7"/>
      <c r="O30" s="210"/>
      <c r="P30" s="210"/>
      <c r="Q30" s="210"/>
      <c r="R30" s="210"/>
      <c r="S30" s="210"/>
      <c r="T30" s="210"/>
      <c r="U30" s="210"/>
      <c r="V30" s="152"/>
      <c r="W30" s="152"/>
      <c r="X30" s="152"/>
    </row>
    <row r="31" spans="1:24" ht="15" customHeight="1" x14ac:dyDescent="0.25">
      <c r="A31" s="20"/>
      <c r="B31" s="27"/>
      <c r="C31" s="101" t="s">
        <v>121</v>
      </c>
      <c r="D31" s="102" t="s">
        <v>60</v>
      </c>
      <c r="E31" s="102">
        <v>2</v>
      </c>
      <c r="F31" s="125">
        <v>2500</v>
      </c>
      <c r="G31" s="126">
        <f t="shared" si="0"/>
        <v>5000</v>
      </c>
      <c r="H31" s="48"/>
      <c r="I31" s="20"/>
      <c r="M31" s="7"/>
      <c r="O31" s="210"/>
      <c r="P31" s="210"/>
      <c r="Q31" s="210"/>
      <c r="R31" s="210"/>
      <c r="S31" s="210"/>
      <c r="T31" s="210"/>
      <c r="U31" s="210"/>
      <c r="V31" s="152"/>
      <c r="W31" s="152"/>
      <c r="X31" s="152"/>
    </row>
    <row r="32" spans="1:24" ht="15" customHeight="1" thickBot="1" x14ac:dyDescent="0.3">
      <c r="A32" s="20"/>
      <c r="B32" s="27"/>
      <c r="C32" s="101" t="s">
        <v>122</v>
      </c>
      <c r="D32" s="102" t="s">
        <v>60</v>
      </c>
      <c r="E32" s="102">
        <v>1</v>
      </c>
      <c r="F32" s="125">
        <v>2500</v>
      </c>
      <c r="G32" s="126">
        <f t="shared" si="0"/>
        <v>2500</v>
      </c>
      <c r="H32" s="48"/>
      <c r="I32" s="20"/>
      <c r="L32" s="77"/>
      <c r="M32" s="77"/>
      <c r="N32" s="77"/>
      <c r="O32" s="210"/>
      <c r="P32" s="210"/>
      <c r="Q32" s="210"/>
      <c r="R32" s="210"/>
      <c r="S32" s="210"/>
      <c r="T32" s="210"/>
      <c r="U32" s="210"/>
      <c r="V32" s="152"/>
      <c r="W32" s="152"/>
      <c r="X32" s="152"/>
    </row>
    <row r="33" spans="1:24" ht="15" customHeight="1" thickTop="1" thickBot="1" x14ac:dyDescent="0.3">
      <c r="A33" s="20"/>
      <c r="B33" s="27"/>
      <c r="C33" s="101" t="s">
        <v>82</v>
      </c>
      <c r="D33" s="102" t="s">
        <v>79</v>
      </c>
      <c r="E33" s="102">
        <v>5</v>
      </c>
      <c r="F33" s="125">
        <v>500</v>
      </c>
      <c r="G33" s="126">
        <f t="shared" si="0"/>
        <v>2500</v>
      </c>
      <c r="H33" s="48"/>
      <c r="I33" s="20"/>
      <c r="L33" s="177" t="s">
        <v>92</v>
      </c>
      <c r="M33" s="178"/>
      <c r="N33" s="77"/>
      <c r="O33" s="210"/>
      <c r="P33" s="210"/>
      <c r="Q33" s="210"/>
      <c r="R33" s="210"/>
      <c r="S33" s="210"/>
      <c r="T33" s="210"/>
      <c r="U33" s="210"/>
      <c r="V33" s="152"/>
      <c r="W33" s="152"/>
      <c r="X33" s="152"/>
    </row>
    <row r="34" spans="1:24" ht="15" customHeight="1" thickTop="1" x14ac:dyDescent="0.25">
      <c r="A34" s="20"/>
      <c r="B34" s="27"/>
      <c r="C34" s="101" t="s">
        <v>91</v>
      </c>
      <c r="D34" s="102" t="s">
        <v>76</v>
      </c>
      <c r="E34" s="102">
        <v>3</v>
      </c>
      <c r="F34" s="125">
        <v>150</v>
      </c>
      <c r="G34" s="126">
        <f t="shared" si="0"/>
        <v>450</v>
      </c>
      <c r="H34" s="48"/>
      <c r="I34" s="20"/>
      <c r="L34" s="77"/>
      <c r="M34" s="77"/>
      <c r="N34" s="77"/>
      <c r="O34" s="152"/>
      <c r="P34" s="77"/>
      <c r="Q34" s="77"/>
      <c r="R34" s="77"/>
      <c r="S34" s="77"/>
      <c r="T34" s="77"/>
      <c r="W34" s="71"/>
    </row>
    <row r="35" spans="1:24" ht="15" customHeight="1" x14ac:dyDescent="0.25">
      <c r="A35" s="20"/>
      <c r="B35" s="27"/>
      <c r="C35" s="101" t="s">
        <v>73</v>
      </c>
      <c r="D35" s="102" t="s">
        <v>61</v>
      </c>
      <c r="E35" s="102">
        <v>20</v>
      </c>
      <c r="F35" s="125">
        <v>25</v>
      </c>
      <c r="G35" s="126">
        <f t="shared" si="0"/>
        <v>500</v>
      </c>
      <c r="H35" s="48"/>
      <c r="I35" s="20"/>
      <c r="L35" s="77"/>
      <c r="M35" s="77"/>
      <c r="N35" s="77"/>
      <c r="O35" s="77"/>
      <c r="P35" s="77"/>
      <c r="Q35" s="77"/>
      <c r="R35" s="77"/>
      <c r="S35" s="77"/>
      <c r="T35" s="77"/>
      <c r="W35" s="71"/>
    </row>
    <row r="36" spans="1:24" ht="15" customHeight="1" thickBot="1" x14ac:dyDescent="0.3">
      <c r="A36" s="20"/>
      <c r="B36" s="27"/>
      <c r="C36" s="101" t="s">
        <v>77</v>
      </c>
      <c r="D36" s="102" t="s">
        <v>78</v>
      </c>
      <c r="E36" s="102">
        <v>2</v>
      </c>
      <c r="F36" s="125">
        <v>50</v>
      </c>
      <c r="G36" s="126">
        <f t="shared" si="0"/>
        <v>100</v>
      </c>
      <c r="H36" s="48"/>
      <c r="I36" s="20"/>
      <c r="L36" s="17" t="s">
        <v>116</v>
      </c>
      <c r="M36" s="17"/>
      <c r="N36" s="17"/>
      <c r="O36" s="17"/>
      <c r="P36" s="77"/>
      <c r="Q36" s="77"/>
      <c r="R36" s="77"/>
      <c r="S36" s="77"/>
      <c r="T36" s="77"/>
      <c r="W36" s="71"/>
    </row>
    <row r="37" spans="1:24" ht="15" customHeight="1" thickTop="1" x14ac:dyDescent="0.25">
      <c r="A37" s="20"/>
      <c r="B37" s="27"/>
      <c r="C37" s="101" t="s">
        <v>90</v>
      </c>
      <c r="D37" s="102" t="s">
        <v>86</v>
      </c>
      <c r="E37" s="102">
        <v>1</v>
      </c>
      <c r="F37" s="125">
        <v>50</v>
      </c>
      <c r="G37" s="126">
        <f t="shared" si="0"/>
        <v>50</v>
      </c>
      <c r="H37" s="48"/>
      <c r="I37" s="20"/>
      <c r="L37" s="200" t="s">
        <v>28</v>
      </c>
      <c r="M37" s="201"/>
      <c r="N37" s="201"/>
      <c r="O37" s="202"/>
      <c r="P37" s="77"/>
      <c r="Q37" s="77"/>
      <c r="R37" s="77"/>
      <c r="S37" s="77"/>
      <c r="T37" s="77"/>
      <c r="W37" s="71"/>
    </row>
    <row r="38" spans="1:24" ht="15" customHeight="1" thickBot="1" x14ac:dyDescent="0.3">
      <c r="A38" s="20"/>
      <c r="B38" s="27"/>
      <c r="C38" s="101" t="s">
        <v>89</v>
      </c>
      <c r="D38" s="102" t="s">
        <v>66</v>
      </c>
      <c r="E38" s="102">
        <v>3</v>
      </c>
      <c r="F38" s="125">
        <v>300</v>
      </c>
      <c r="G38" s="126">
        <f t="shared" si="0"/>
        <v>900</v>
      </c>
      <c r="H38" s="48"/>
      <c r="I38" s="20"/>
      <c r="L38" s="203" t="s">
        <v>29</v>
      </c>
      <c r="M38" s="204"/>
      <c r="N38" s="204"/>
      <c r="O38" s="205"/>
      <c r="P38" s="77"/>
      <c r="Q38" s="77"/>
      <c r="R38" s="77"/>
      <c r="S38" s="77"/>
      <c r="T38" s="77"/>
      <c r="W38" s="71"/>
    </row>
    <row r="39" spans="1:24" ht="15" customHeight="1" thickTop="1" x14ac:dyDescent="0.25">
      <c r="A39" s="20"/>
      <c r="B39" s="27"/>
      <c r="C39" s="101" t="s">
        <v>83</v>
      </c>
      <c r="D39" s="102" t="s">
        <v>79</v>
      </c>
      <c r="E39" s="102">
        <v>5</v>
      </c>
      <c r="F39" s="125">
        <v>50</v>
      </c>
      <c r="G39" s="126">
        <f t="shared" si="0"/>
        <v>250</v>
      </c>
      <c r="H39" s="48"/>
      <c r="I39" s="20"/>
      <c r="L39" s="77"/>
      <c r="M39" s="77"/>
      <c r="N39" s="77"/>
      <c r="O39" s="77"/>
      <c r="W39" s="71"/>
    </row>
    <row r="40" spans="1:24" ht="15" customHeight="1" x14ac:dyDescent="0.25">
      <c r="A40" s="20"/>
      <c r="B40" s="27"/>
      <c r="C40" s="101" t="s">
        <v>74</v>
      </c>
      <c r="D40" s="102" t="s">
        <v>67</v>
      </c>
      <c r="E40" s="102">
        <v>6</v>
      </c>
      <c r="F40" s="125">
        <v>20.149999999999999</v>
      </c>
      <c r="G40" s="126">
        <f t="shared" si="0"/>
        <v>120.89999999999999</v>
      </c>
      <c r="H40" s="48"/>
      <c r="I40" s="20"/>
      <c r="M40" s="7"/>
      <c r="W40" s="71"/>
    </row>
    <row r="41" spans="1:24" ht="15" customHeight="1" x14ac:dyDescent="0.25">
      <c r="A41" s="20"/>
      <c r="B41" s="27"/>
      <c r="C41" s="101" t="s">
        <v>84</v>
      </c>
      <c r="D41" s="102" t="s">
        <v>70</v>
      </c>
      <c r="E41" s="102">
        <v>1</v>
      </c>
      <c r="F41" s="125">
        <v>300</v>
      </c>
      <c r="G41" s="126">
        <f t="shared" si="0"/>
        <v>300</v>
      </c>
      <c r="H41" s="48"/>
      <c r="I41" s="20"/>
      <c r="R41" s="7"/>
      <c r="W41" s="71"/>
    </row>
    <row r="42" spans="1:24" ht="15" customHeight="1" x14ac:dyDescent="0.25">
      <c r="A42" s="20"/>
      <c r="B42" s="27"/>
      <c r="C42" s="101"/>
      <c r="D42" s="102"/>
      <c r="E42" s="102"/>
      <c r="F42" s="125"/>
      <c r="G42" s="126" t="str">
        <f t="shared" si="0"/>
        <v/>
      </c>
      <c r="H42" s="49"/>
      <c r="I42" s="20"/>
      <c r="W42" s="71"/>
    </row>
    <row r="43" spans="1:24" ht="15" customHeight="1" thickBot="1" x14ac:dyDescent="0.3">
      <c r="A43" s="20"/>
      <c r="B43" s="27"/>
      <c r="C43" s="20"/>
      <c r="D43" s="20"/>
      <c r="E43" s="184" t="s">
        <v>18</v>
      </c>
      <c r="F43" s="185"/>
      <c r="G43" s="127">
        <f>SUM(G20:G42)</f>
        <v>19520.900000000001</v>
      </c>
      <c r="H43" s="48"/>
      <c r="I43" s="20"/>
      <c r="L43" s="17" t="s">
        <v>25</v>
      </c>
      <c r="W43" s="71"/>
    </row>
    <row r="44" spans="1:24" ht="15" customHeight="1" x14ac:dyDescent="0.25">
      <c r="A44" s="20"/>
      <c r="B44" s="27"/>
      <c r="C44" s="20"/>
      <c r="D44" s="20"/>
      <c r="E44" s="50"/>
      <c r="F44" s="50"/>
      <c r="G44" s="51"/>
      <c r="H44" s="48"/>
      <c r="I44" s="20"/>
      <c r="L44" s="17"/>
      <c r="W44" s="71"/>
    </row>
    <row r="45" spans="1:24" ht="15" customHeight="1" x14ac:dyDescent="0.25">
      <c r="A45" s="20"/>
      <c r="B45" s="27"/>
      <c r="C45" s="20"/>
      <c r="D45" s="20"/>
      <c r="E45" s="45"/>
      <c r="F45" s="52"/>
      <c r="G45" s="52"/>
      <c r="H45" s="48"/>
      <c r="I45" s="20"/>
      <c r="M45" s="7"/>
      <c r="W45" s="71"/>
    </row>
    <row r="46" spans="1:24" ht="15" customHeight="1" x14ac:dyDescent="0.25">
      <c r="A46" s="20"/>
      <c r="B46" s="27"/>
      <c r="C46" s="20" t="s">
        <v>19</v>
      </c>
      <c r="D46" s="46" t="s">
        <v>14</v>
      </c>
      <c r="E46" s="39" t="s">
        <v>15</v>
      </c>
      <c r="F46" s="47" t="s">
        <v>17</v>
      </c>
      <c r="G46" s="47" t="s">
        <v>16</v>
      </c>
      <c r="H46" s="48"/>
      <c r="I46" s="20"/>
      <c r="L46" s="10" t="s">
        <v>100</v>
      </c>
      <c r="M46" s="7"/>
      <c r="W46" s="71"/>
    </row>
    <row r="47" spans="1:24" ht="15" customHeight="1" x14ac:dyDescent="0.25">
      <c r="A47" s="20"/>
      <c r="B47" s="27"/>
      <c r="C47" s="103" t="s">
        <v>80</v>
      </c>
      <c r="D47" s="102" t="s">
        <v>50</v>
      </c>
      <c r="E47" s="102">
        <v>1</v>
      </c>
      <c r="F47" s="125">
        <v>540</v>
      </c>
      <c r="G47" s="126">
        <f t="shared" ref="G47:G52" si="1">IF(AND((C47&lt;&gt;""),(D47&lt;&gt;""),(E47&lt;&gt;""),(F47&lt;&gt;"")),(E47*F47),"")</f>
        <v>540</v>
      </c>
      <c r="H47" s="48"/>
      <c r="I47" s="20"/>
      <c r="L47" s="1" t="s">
        <v>24</v>
      </c>
      <c r="M47" s="7"/>
      <c r="W47" s="71"/>
    </row>
    <row r="48" spans="1:24" ht="15" customHeight="1" x14ac:dyDescent="0.25">
      <c r="A48" s="20"/>
      <c r="B48" s="27"/>
      <c r="C48" s="103" t="s">
        <v>119</v>
      </c>
      <c r="D48" s="102" t="s">
        <v>49</v>
      </c>
      <c r="E48" s="102">
        <v>1</v>
      </c>
      <c r="F48" s="125">
        <v>819</v>
      </c>
      <c r="G48" s="126">
        <f t="shared" si="1"/>
        <v>819</v>
      </c>
      <c r="H48" s="48"/>
      <c r="I48" s="20"/>
      <c r="L48" s="1" t="s">
        <v>113</v>
      </c>
      <c r="M48" s="7"/>
      <c r="W48" s="71"/>
    </row>
    <row r="49" spans="1:81" ht="15" customHeight="1" x14ac:dyDescent="0.25">
      <c r="A49" s="20"/>
      <c r="B49" s="27"/>
      <c r="C49" s="103" t="s">
        <v>120</v>
      </c>
      <c r="D49" s="102" t="s">
        <v>49</v>
      </c>
      <c r="E49" s="102">
        <v>1</v>
      </c>
      <c r="F49" s="125">
        <v>819</v>
      </c>
      <c r="G49" s="126">
        <f t="shared" si="1"/>
        <v>819</v>
      </c>
      <c r="H49" s="48"/>
      <c r="I49" s="20"/>
      <c r="L49" s="11" t="s">
        <v>129</v>
      </c>
      <c r="W49" s="71"/>
    </row>
    <row r="50" spans="1:81" ht="15" customHeight="1" x14ac:dyDescent="0.25">
      <c r="A50" s="20"/>
      <c r="B50" s="27"/>
      <c r="C50" s="103" t="s">
        <v>85</v>
      </c>
      <c r="D50" s="102" t="s">
        <v>66</v>
      </c>
      <c r="E50" s="102">
        <v>4</v>
      </c>
      <c r="F50" s="125">
        <v>1260</v>
      </c>
      <c r="G50" s="126">
        <f t="shared" si="1"/>
        <v>5040</v>
      </c>
      <c r="H50" s="48"/>
      <c r="I50" s="20"/>
      <c r="L50" s="10" t="s">
        <v>101</v>
      </c>
      <c r="W50" s="71"/>
    </row>
    <row r="51" spans="1:81" ht="15" customHeight="1" x14ac:dyDescent="0.25">
      <c r="A51" s="20"/>
      <c r="B51" s="27"/>
      <c r="C51" s="103" t="s">
        <v>87</v>
      </c>
      <c r="D51" s="102" t="s">
        <v>49</v>
      </c>
      <c r="E51" s="102">
        <v>2</v>
      </c>
      <c r="F51" s="125">
        <v>0</v>
      </c>
      <c r="G51" s="126">
        <f t="shared" si="1"/>
        <v>0</v>
      </c>
      <c r="H51" s="48"/>
      <c r="I51" s="20"/>
      <c r="L51" s="10"/>
    </row>
    <row r="52" spans="1:81" ht="15" customHeight="1" x14ac:dyDescent="0.25">
      <c r="A52" s="20"/>
      <c r="B52" s="27"/>
      <c r="C52" s="103"/>
      <c r="D52" s="102"/>
      <c r="E52" s="102"/>
      <c r="F52" s="125"/>
      <c r="G52" s="126" t="str">
        <f t="shared" si="1"/>
        <v/>
      </c>
      <c r="H52" s="49"/>
      <c r="I52" s="20"/>
    </row>
    <row r="53" spans="1:81" ht="15" customHeight="1" thickBot="1" x14ac:dyDescent="0.3">
      <c r="A53" s="20"/>
      <c r="B53" s="27"/>
      <c r="C53" s="20"/>
      <c r="D53" s="20"/>
      <c r="E53" s="159" t="s">
        <v>20</v>
      </c>
      <c r="F53" s="160"/>
      <c r="G53" s="128">
        <f>SUM(G47:G52)</f>
        <v>7218</v>
      </c>
      <c r="H53" s="49"/>
      <c r="I53" s="20"/>
      <c r="L53" s="17" t="s">
        <v>26</v>
      </c>
    </row>
    <row r="54" spans="1:81" ht="15" customHeight="1" x14ac:dyDescent="0.25">
      <c r="A54" s="20"/>
      <c r="B54" s="27"/>
      <c r="C54" s="20"/>
      <c r="D54" s="37"/>
      <c r="E54" s="45"/>
      <c r="F54" s="53"/>
      <c r="G54" s="54"/>
      <c r="H54" s="49"/>
      <c r="I54" s="20"/>
      <c r="L54" s="17"/>
    </row>
    <row r="55" spans="1:81" ht="15" customHeight="1" thickBot="1" x14ac:dyDescent="0.3">
      <c r="A55" s="20"/>
      <c r="B55" s="27"/>
      <c r="C55" s="20"/>
      <c r="D55" s="20"/>
      <c r="E55" s="20"/>
      <c r="F55" s="20"/>
      <c r="G55" s="20"/>
      <c r="H55" s="49"/>
      <c r="I55" s="20"/>
      <c r="M55" s="13"/>
    </row>
    <row r="56" spans="1:81" ht="15" customHeight="1" thickTop="1" thickBot="1" x14ac:dyDescent="0.3">
      <c r="A56" s="20"/>
      <c r="B56" s="27"/>
      <c r="C56" s="121" t="s">
        <v>117</v>
      </c>
      <c r="D56" s="20"/>
      <c r="E56" s="78"/>
      <c r="F56" s="138" t="s">
        <v>21</v>
      </c>
      <c r="G56" s="155">
        <f>(G43+G53)</f>
        <v>26738.9</v>
      </c>
      <c r="H56" s="49"/>
      <c r="I56" s="20"/>
      <c r="J56" s="13"/>
      <c r="K56" s="13"/>
      <c r="L56" s="1" t="s">
        <v>27</v>
      </c>
      <c r="M56" s="10"/>
      <c r="P56" s="13"/>
      <c r="Q56" s="13"/>
      <c r="R56" s="13"/>
      <c r="S56" s="13"/>
    </row>
    <row r="57" spans="1:81" ht="15" customHeight="1" thickTop="1" thickBot="1" x14ac:dyDescent="0.3">
      <c r="A57" s="20"/>
      <c r="B57" s="27"/>
      <c r="C57" s="20" t="str">
        <f>L37</f>
        <v>Obsah článků, obrázky ke zveřejnění, dokumenty ke zveřejnění.</v>
      </c>
      <c r="D57" s="20"/>
      <c r="E57" s="86"/>
      <c r="F57" s="139" t="str">
        <f>"Celkem s DPH "&amp;(L57*100)&amp;"% ("&amp;TEXT(ROUNDUP((G57-G56),0),"# ###")&amp;" Kč):"</f>
        <v>Celkem s DPH 21% (5 617 Kč):</v>
      </c>
      <c r="G57" s="130">
        <f>ROUNDUP(G56+((G43+G53)*L57),0)</f>
        <v>32355</v>
      </c>
      <c r="H57" s="49"/>
      <c r="I57" s="20"/>
      <c r="J57" s="13"/>
      <c r="K57" s="13"/>
      <c r="L57" s="144">
        <v>0.21</v>
      </c>
      <c r="M57" s="10" t="s">
        <v>102</v>
      </c>
      <c r="N57" s="13"/>
      <c r="O57" s="13"/>
      <c r="P57" s="64"/>
      <c r="Q57" s="64"/>
      <c r="R57" s="64"/>
      <c r="S57" s="64"/>
    </row>
    <row r="58" spans="1:81" ht="15" customHeight="1" thickTop="1" thickBot="1" x14ac:dyDescent="0.3">
      <c r="A58" s="20"/>
      <c r="B58" s="27"/>
      <c r="C58" s="20" t="str">
        <f>L38</f>
        <v>Fakturační údaje, Kontaktní údaje.</v>
      </c>
      <c r="D58" s="20"/>
      <c r="E58" s="100"/>
      <c r="F58" s="140" t="str">
        <f>"Záloha "&amp; (L58*100) &amp;"%:"</f>
        <v>Záloha 50%:</v>
      </c>
      <c r="G58" s="131">
        <f>ROUNDUP((G57*L58),0)</f>
        <v>16178</v>
      </c>
      <c r="H58" s="80"/>
      <c r="I58" s="81"/>
      <c r="J58" s="82"/>
      <c r="K58" s="82"/>
      <c r="L58" s="145">
        <v>0.5</v>
      </c>
      <c r="M58" s="10" t="s">
        <v>103</v>
      </c>
      <c r="N58" s="64"/>
      <c r="O58" s="64"/>
      <c r="P58" s="64"/>
      <c r="Q58" s="64"/>
      <c r="R58" s="64"/>
      <c r="S58" s="64"/>
      <c r="T58" s="83"/>
      <c r="U58" s="83"/>
      <c r="V58" s="83"/>
      <c r="W58" s="83"/>
      <c r="X58" s="83"/>
      <c r="Y58" s="83"/>
      <c r="Z58" s="83"/>
      <c r="AA58" s="83"/>
      <c r="AB58" s="83"/>
      <c r="AC58" s="83"/>
      <c r="AD58" s="83"/>
      <c r="AE58" s="83"/>
      <c r="AF58" s="83"/>
      <c r="AG58" s="83"/>
      <c r="AH58" s="83"/>
      <c r="AI58" s="83"/>
      <c r="AJ58" s="83"/>
      <c r="AK58" s="83"/>
      <c r="AL58" s="83"/>
      <c r="AM58" s="83"/>
      <c r="AN58" s="83"/>
      <c r="AO58" s="83"/>
      <c r="AP58" s="83"/>
      <c r="AQ58" s="83"/>
      <c r="AR58" s="83"/>
      <c r="AS58" s="83"/>
      <c r="AT58" s="83"/>
      <c r="AU58" s="83"/>
      <c r="AV58" s="83"/>
      <c r="AW58" s="83"/>
      <c r="AX58" s="83"/>
      <c r="AY58" s="83"/>
      <c r="AZ58" s="83"/>
      <c r="BA58" s="83"/>
      <c r="BB58" s="83"/>
      <c r="BC58" s="83"/>
      <c r="BD58" s="83"/>
      <c r="BE58" s="83"/>
      <c r="BF58" s="83"/>
      <c r="BG58" s="83"/>
      <c r="BH58" s="83"/>
      <c r="BI58" s="83"/>
      <c r="BJ58" s="83"/>
      <c r="BK58" s="83"/>
      <c r="BL58" s="83"/>
      <c r="BM58" s="83"/>
      <c r="BN58" s="83"/>
      <c r="BO58" s="83"/>
      <c r="BP58" s="83"/>
      <c r="BQ58" s="83"/>
      <c r="BR58" s="83"/>
      <c r="BS58" s="83"/>
      <c r="BT58" s="83"/>
      <c r="BU58" s="83"/>
      <c r="BV58" s="83"/>
      <c r="BW58" s="83"/>
      <c r="BX58" s="83"/>
      <c r="BY58" s="83"/>
      <c r="BZ58" s="83"/>
      <c r="CA58" s="83"/>
      <c r="CB58" s="83"/>
      <c r="CC58" s="83"/>
    </row>
    <row r="59" spans="1:81" ht="15" customHeight="1" thickTop="1" x14ac:dyDescent="0.25">
      <c r="A59" s="20"/>
      <c r="B59" s="27"/>
      <c r="C59" s="20"/>
      <c r="D59" s="20"/>
      <c r="E59" s="45"/>
      <c r="F59" s="69"/>
      <c r="G59" s="70" t="s">
        <v>118</v>
      </c>
      <c r="H59" s="80"/>
      <c r="I59" s="81"/>
      <c r="J59" s="82"/>
      <c r="K59" s="82"/>
      <c r="L59" s="64"/>
      <c r="M59" s="10"/>
      <c r="N59" s="64"/>
      <c r="O59" s="64"/>
      <c r="P59" s="64"/>
      <c r="Q59" s="64"/>
      <c r="R59" s="64"/>
      <c r="S59" s="64"/>
      <c r="T59" s="83"/>
      <c r="U59" s="83"/>
      <c r="V59" s="83"/>
      <c r="W59" s="83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3"/>
      <c r="AK59" s="83"/>
      <c r="AL59" s="83"/>
      <c r="AM59" s="83"/>
      <c r="AN59" s="83"/>
      <c r="AO59" s="83"/>
      <c r="AP59" s="83"/>
      <c r="AQ59" s="83"/>
      <c r="AR59" s="83"/>
      <c r="AS59" s="83"/>
      <c r="AT59" s="83"/>
      <c r="AU59" s="83"/>
      <c r="AV59" s="83"/>
      <c r="AW59" s="83"/>
      <c r="AX59" s="83"/>
      <c r="AY59" s="83"/>
      <c r="AZ59" s="83"/>
      <c r="BA59" s="83"/>
      <c r="BB59" s="83"/>
      <c r="BC59" s="83"/>
      <c r="BD59" s="83"/>
      <c r="BE59" s="83"/>
      <c r="BF59" s="83"/>
      <c r="BG59" s="83"/>
      <c r="BH59" s="83"/>
      <c r="BI59" s="83"/>
      <c r="BJ59" s="83"/>
      <c r="BK59" s="83"/>
      <c r="BL59" s="83"/>
      <c r="BM59" s="83"/>
      <c r="BN59" s="83"/>
      <c r="BO59" s="83"/>
      <c r="BP59" s="83"/>
      <c r="BQ59" s="83"/>
      <c r="BR59" s="83"/>
      <c r="BS59" s="83"/>
      <c r="BT59" s="83"/>
      <c r="BU59" s="83"/>
      <c r="BV59" s="83"/>
      <c r="BW59" s="83"/>
      <c r="BX59" s="83"/>
      <c r="BY59" s="83"/>
      <c r="BZ59" s="83"/>
      <c r="CA59" s="83"/>
      <c r="CB59" s="83"/>
      <c r="CC59" s="83"/>
    </row>
    <row r="60" spans="1:81" ht="15" customHeight="1" x14ac:dyDescent="0.25">
      <c r="A60" s="20"/>
      <c r="B60" s="27"/>
      <c r="C60" s="20"/>
      <c r="D60" s="20"/>
      <c r="E60" s="45"/>
      <c r="F60" s="52"/>
      <c r="G60" s="20"/>
      <c r="H60" s="80"/>
      <c r="I60" s="81"/>
      <c r="J60" s="82"/>
      <c r="K60" s="82"/>
      <c r="L60" s="64"/>
      <c r="M60" s="64"/>
      <c r="N60" s="64"/>
      <c r="O60" s="64"/>
      <c r="P60" s="64"/>
      <c r="Q60" s="64"/>
      <c r="R60" s="64"/>
      <c r="S60" s="64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3"/>
      <c r="AY60" s="83"/>
      <c r="AZ60" s="83"/>
      <c r="BA60" s="83"/>
      <c r="BB60" s="83"/>
      <c r="BC60" s="83"/>
      <c r="BD60" s="83"/>
      <c r="BE60" s="83"/>
      <c r="BF60" s="83"/>
      <c r="BG60" s="83"/>
      <c r="BH60" s="83"/>
      <c r="BI60" s="83"/>
      <c r="BJ60" s="83"/>
      <c r="BK60" s="83"/>
      <c r="BL60" s="83"/>
      <c r="BM60" s="83"/>
      <c r="BN60" s="83"/>
      <c r="BO60" s="83"/>
      <c r="BP60" s="83"/>
      <c r="BQ60" s="83"/>
      <c r="BR60" s="83"/>
      <c r="BS60" s="83"/>
      <c r="BT60" s="83"/>
      <c r="BU60" s="83"/>
      <c r="BV60" s="83"/>
      <c r="BW60" s="83"/>
      <c r="BX60" s="83"/>
      <c r="BY60" s="83"/>
      <c r="BZ60" s="83"/>
      <c r="CA60" s="83"/>
      <c r="CB60" s="83"/>
      <c r="CC60" s="83"/>
    </row>
    <row r="61" spans="1:81" ht="15" customHeight="1" x14ac:dyDescent="0.25">
      <c r="A61" s="20"/>
      <c r="B61" s="27"/>
      <c r="C61" s="81"/>
      <c r="D61" s="84"/>
      <c r="E61" s="81"/>
      <c r="F61" s="81"/>
      <c r="G61" s="81"/>
      <c r="H61" s="80"/>
      <c r="I61" s="81"/>
      <c r="J61" s="82"/>
      <c r="K61" s="82"/>
      <c r="L61" s="64"/>
      <c r="M61" s="64"/>
      <c r="N61" s="64"/>
      <c r="O61" s="64"/>
      <c r="P61" s="64"/>
      <c r="Q61" s="64"/>
      <c r="R61" s="64"/>
      <c r="S61" s="64"/>
      <c r="T61" s="83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3"/>
      <c r="AY61" s="83"/>
      <c r="AZ61" s="83"/>
      <c r="BA61" s="83"/>
      <c r="BB61" s="83"/>
      <c r="BC61" s="83"/>
      <c r="BD61" s="83"/>
      <c r="BE61" s="83"/>
      <c r="BF61" s="83"/>
      <c r="BG61" s="83"/>
      <c r="BH61" s="83"/>
      <c r="BI61" s="83"/>
      <c r="BJ61" s="83"/>
      <c r="BK61" s="83"/>
      <c r="BL61" s="83"/>
      <c r="BM61" s="83"/>
      <c r="BN61" s="83"/>
      <c r="BO61" s="83"/>
      <c r="BP61" s="83"/>
      <c r="BQ61" s="83"/>
      <c r="BR61" s="83"/>
      <c r="BS61" s="83"/>
      <c r="BT61" s="83"/>
      <c r="BU61" s="83"/>
      <c r="BV61" s="83"/>
      <c r="BW61" s="83"/>
      <c r="BX61" s="83"/>
      <c r="BY61" s="83"/>
      <c r="BZ61" s="83"/>
      <c r="CA61" s="83"/>
      <c r="CB61" s="83"/>
      <c r="CC61" s="83"/>
    </row>
    <row r="62" spans="1:81" ht="15" customHeight="1" x14ac:dyDescent="0.25">
      <c r="A62" s="20"/>
      <c r="B62" s="27"/>
      <c r="C62" s="81"/>
      <c r="D62" s="81"/>
      <c r="E62" s="81"/>
      <c r="F62" s="81"/>
      <c r="G62" s="81"/>
      <c r="H62" s="80"/>
      <c r="I62" s="81"/>
      <c r="J62" s="82"/>
      <c r="K62" s="82"/>
      <c r="L62" s="64"/>
      <c r="M62" s="64"/>
      <c r="N62" s="64"/>
      <c r="O62" s="64"/>
      <c r="P62" s="64"/>
      <c r="Q62" s="64"/>
      <c r="R62" s="64"/>
      <c r="S62" s="64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83"/>
      <c r="BI62" s="83"/>
      <c r="BJ62" s="83"/>
      <c r="BK62" s="83"/>
      <c r="BL62" s="83"/>
      <c r="BM62" s="83"/>
      <c r="BN62" s="83"/>
      <c r="BO62" s="83"/>
      <c r="BP62" s="83"/>
      <c r="BQ62" s="83"/>
      <c r="BR62" s="83"/>
      <c r="BS62" s="83"/>
      <c r="BT62" s="83"/>
      <c r="BU62" s="83"/>
      <c r="BV62" s="83"/>
      <c r="BW62" s="83"/>
      <c r="BX62" s="83"/>
      <c r="BY62" s="83"/>
      <c r="BZ62" s="83"/>
      <c r="CA62" s="83"/>
      <c r="CB62" s="83"/>
      <c r="CC62" s="83"/>
    </row>
    <row r="63" spans="1:81" ht="15" customHeight="1" x14ac:dyDescent="0.25">
      <c r="A63" s="20"/>
      <c r="B63" s="27"/>
      <c r="C63"/>
      <c r="D63" s="81"/>
      <c r="E63" s="81"/>
      <c r="F63" s="81"/>
      <c r="G63" s="81"/>
      <c r="H63" s="80"/>
      <c r="I63" s="81"/>
      <c r="J63" s="82"/>
      <c r="K63" s="82"/>
      <c r="L63" s="64"/>
      <c r="M63" s="64"/>
      <c r="N63" s="64"/>
      <c r="O63" s="64"/>
      <c r="P63" s="64"/>
      <c r="Q63" s="64"/>
      <c r="R63" s="64"/>
      <c r="S63" s="64"/>
      <c r="T63" s="83"/>
      <c r="U63" s="83"/>
      <c r="V63" s="83"/>
      <c r="W63" s="83"/>
      <c r="X63" s="83"/>
      <c r="Y63" s="83"/>
      <c r="Z63" s="83"/>
      <c r="AA63" s="83"/>
      <c r="AB63" s="83"/>
      <c r="AC63" s="83"/>
      <c r="AD63" s="83"/>
      <c r="AE63" s="83"/>
      <c r="AF63" s="83"/>
      <c r="AG63" s="83"/>
      <c r="AH63" s="83"/>
      <c r="AI63" s="83"/>
      <c r="AJ63" s="83"/>
      <c r="AK63" s="83"/>
      <c r="AL63" s="83"/>
      <c r="AM63" s="83"/>
      <c r="AN63" s="83"/>
      <c r="AO63" s="83"/>
      <c r="AP63" s="83"/>
      <c r="AQ63" s="83"/>
      <c r="AR63" s="83"/>
      <c r="AS63" s="83"/>
      <c r="AT63" s="83"/>
      <c r="AU63" s="83"/>
      <c r="AV63" s="83"/>
      <c r="AW63" s="83"/>
      <c r="AX63" s="83"/>
      <c r="AY63" s="83"/>
      <c r="AZ63" s="83"/>
      <c r="BA63" s="83"/>
      <c r="BB63" s="83"/>
      <c r="BC63" s="83"/>
      <c r="BD63" s="83"/>
      <c r="BE63" s="83"/>
      <c r="BF63" s="83"/>
      <c r="BG63" s="83"/>
      <c r="BH63" s="83"/>
      <c r="BI63" s="83"/>
      <c r="BJ63" s="83"/>
      <c r="BK63" s="83"/>
      <c r="BL63" s="83"/>
      <c r="BM63" s="83"/>
      <c r="BN63" s="83"/>
      <c r="BO63" s="83"/>
      <c r="BP63" s="83"/>
      <c r="BQ63" s="83"/>
      <c r="BR63" s="83"/>
      <c r="BS63" s="83"/>
      <c r="BT63" s="83"/>
      <c r="BU63" s="83"/>
      <c r="BV63" s="83"/>
      <c r="BW63" s="83"/>
      <c r="BX63" s="83"/>
      <c r="BY63" s="83"/>
      <c r="BZ63" s="83"/>
      <c r="CA63" s="83"/>
      <c r="CB63" s="83"/>
      <c r="CC63" s="83"/>
    </row>
    <row r="64" spans="1:81" ht="15" customHeight="1" thickBot="1" x14ac:dyDescent="0.3">
      <c r="A64" s="20"/>
      <c r="B64" s="27"/>
      <c r="C64"/>
      <c r="D64" s="81"/>
      <c r="E64" s="81"/>
      <c r="F64" s="81"/>
      <c r="G64" s="81"/>
      <c r="H64" s="80"/>
      <c r="I64" s="81"/>
      <c r="J64" s="82"/>
      <c r="K64" s="82"/>
      <c r="L64" s="64"/>
      <c r="M64" s="64"/>
      <c r="N64" s="64"/>
      <c r="O64" s="64"/>
      <c r="P64" s="64"/>
      <c r="Q64" s="64"/>
      <c r="R64" s="64"/>
      <c r="S64" s="64"/>
      <c r="T64" s="83"/>
      <c r="U64" s="83"/>
      <c r="V64" s="83"/>
      <c r="W64" s="83"/>
      <c r="X64" s="83"/>
      <c r="Y64" s="83"/>
      <c r="Z64" s="83"/>
      <c r="AA64" s="83"/>
      <c r="AB64" s="83"/>
      <c r="AC64" s="83"/>
      <c r="AD64" s="83"/>
      <c r="AE64" s="83"/>
      <c r="AF64" s="83"/>
      <c r="AG64" s="83"/>
      <c r="AH64" s="83"/>
      <c r="AI64" s="83"/>
      <c r="AJ64" s="83"/>
      <c r="AK64" s="83"/>
      <c r="AL64" s="83"/>
      <c r="AM64" s="83"/>
      <c r="AN64" s="83"/>
      <c r="AO64" s="83"/>
      <c r="AP64" s="83"/>
      <c r="AQ64" s="83"/>
      <c r="AR64" s="83"/>
      <c r="AS64" s="83"/>
      <c r="AT64" s="83"/>
      <c r="AU64" s="83"/>
      <c r="AV64" s="83"/>
      <c r="AW64" s="83"/>
      <c r="AX64" s="83"/>
      <c r="AY64" s="83"/>
      <c r="AZ64" s="83"/>
      <c r="BA64" s="83"/>
      <c r="BB64" s="83"/>
      <c r="BC64" s="83"/>
      <c r="BD64" s="83"/>
      <c r="BE64" s="83"/>
      <c r="BF64" s="83"/>
      <c r="BG64" s="83"/>
      <c r="BH64" s="83"/>
      <c r="BI64" s="83"/>
      <c r="BJ64" s="83"/>
      <c r="BK64" s="83"/>
      <c r="BL64" s="83"/>
      <c r="BM64" s="83"/>
      <c r="BN64" s="83"/>
      <c r="BO64" s="83"/>
      <c r="BP64" s="83"/>
      <c r="BQ64" s="83"/>
      <c r="BR64" s="83"/>
      <c r="BS64" s="83"/>
      <c r="BT64" s="83"/>
      <c r="BU64" s="83"/>
      <c r="BV64" s="83"/>
      <c r="BW64" s="83"/>
      <c r="BX64" s="83"/>
      <c r="BY64" s="83"/>
      <c r="BZ64" s="83"/>
      <c r="CA64" s="83"/>
      <c r="CB64" s="83"/>
      <c r="CC64" s="83"/>
    </row>
    <row r="65" spans="1:81" ht="15" customHeight="1" thickTop="1" thickBot="1" x14ac:dyDescent="0.3">
      <c r="A65" s="20"/>
      <c r="B65" s="27"/>
      <c r="C65" s="81"/>
      <c r="D65" s="81"/>
      <c r="E65" s="81"/>
      <c r="F65" s="81"/>
      <c r="G65" s="81"/>
      <c r="H65" s="80"/>
      <c r="I65" s="81"/>
      <c r="J65" s="82"/>
      <c r="K65" s="82"/>
      <c r="L65" s="137"/>
      <c r="M65" s="124" t="s">
        <v>104</v>
      </c>
      <c r="N65" s="64"/>
      <c r="O65" s="64"/>
      <c r="P65" s="64"/>
      <c r="Q65" s="64"/>
      <c r="R65" s="64"/>
      <c r="S65" s="64"/>
      <c r="T65" s="83"/>
      <c r="U65" s="83"/>
      <c r="V65" s="83"/>
      <c r="W65" s="83"/>
      <c r="X65" s="83"/>
      <c r="Y65" s="83"/>
      <c r="Z65" s="83"/>
      <c r="AA65" s="83"/>
      <c r="AB65" s="83"/>
      <c r="AC65" s="83"/>
      <c r="AD65" s="83"/>
      <c r="AE65" s="83"/>
      <c r="AF65" s="83"/>
      <c r="AG65" s="83"/>
      <c r="AH65" s="83"/>
      <c r="AI65" s="83"/>
      <c r="AJ65" s="83"/>
      <c r="AK65" s="83"/>
      <c r="AL65" s="83"/>
      <c r="AM65" s="83"/>
      <c r="AN65" s="83"/>
      <c r="AO65" s="83"/>
      <c r="AP65" s="83"/>
      <c r="AQ65" s="83"/>
      <c r="AR65" s="83"/>
      <c r="AS65" s="83"/>
      <c r="AT65" s="83"/>
      <c r="AU65" s="83"/>
      <c r="AV65" s="83"/>
      <c r="AW65" s="83"/>
      <c r="AX65" s="83"/>
      <c r="AY65" s="83"/>
      <c r="AZ65" s="83"/>
      <c r="BA65" s="83"/>
      <c r="BB65" s="83"/>
      <c r="BC65" s="83"/>
      <c r="BD65" s="83"/>
      <c r="BE65" s="83"/>
      <c r="BF65" s="83"/>
      <c r="BG65" s="83"/>
      <c r="BH65" s="83"/>
      <c r="BI65" s="83"/>
      <c r="BJ65" s="83"/>
      <c r="BK65" s="83"/>
      <c r="BL65" s="83"/>
      <c r="BM65" s="83"/>
      <c r="BN65" s="83"/>
      <c r="BO65" s="83"/>
      <c r="BP65" s="83"/>
      <c r="BQ65" s="83"/>
      <c r="BR65" s="83"/>
      <c r="BS65" s="83"/>
      <c r="BT65" s="83"/>
      <c r="BU65" s="83"/>
      <c r="BV65" s="83"/>
      <c r="BW65" s="83"/>
      <c r="BX65" s="83"/>
      <c r="BY65" s="83"/>
      <c r="BZ65" s="83"/>
      <c r="CA65" s="83"/>
      <c r="CB65" s="83"/>
      <c r="CC65" s="83"/>
    </row>
    <row r="66" spans="1:81" ht="15" customHeight="1" thickTop="1" x14ac:dyDescent="0.25">
      <c r="A66" s="20"/>
      <c r="B66" s="27"/>
      <c r="C66" s="81"/>
      <c r="D66" s="81"/>
      <c r="E66" s="81"/>
      <c r="F66" s="81"/>
      <c r="G66" s="81"/>
      <c r="H66" s="49"/>
      <c r="I66" s="20"/>
      <c r="J66" s="13"/>
      <c r="K66" s="13"/>
      <c r="N66" s="64"/>
      <c r="O66" s="64"/>
      <c r="P66" s="64"/>
      <c r="Q66" s="64"/>
      <c r="R66" s="64"/>
      <c r="S66" s="64"/>
    </row>
    <row r="67" spans="1:81" ht="15" customHeight="1" x14ac:dyDescent="0.25">
      <c r="A67" s="20"/>
      <c r="B67" s="27"/>
      <c r="C67" s="81"/>
      <c r="D67" s="81"/>
      <c r="E67" s="81"/>
      <c r="F67" s="81"/>
      <c r="G67" s="81"/>
      <c r="H67" s="49"/>
      <c r="I67" s="20"/>
      <c r="J67" s="13"/>
      <c r="K67" s="13"/>
      <c r="L67" s="64"/>
      <c r="M67" s="64"/>
      <c r="N67" s="64"/>
      <c r="O67" s="64"/>
      <c r="P67" s="64"/>
      <c r="Q67" s="64"/>
      <c r="R67" s="64"/>
      <c r="S67" s="64"/>
    </row>
    <row r="68" spans="1:81" ht="15" customHeight="1" x14ac:dyDescent="0.25">
      <c r="A68" s="20"/>
      <c r="B68" s="27"/>
      <c r="C68" s="81"/>
      <c r="D68" s="81"/>
      <c r="E68" s="81"/>
      <c r="F68" s="81"/>
      <c r="G68" s="81"/>
      <c r="H68" s="49"/>
      <c r="I68" s="20"/>
      <c r="J68" s="13"/>
      <c r="K68" s="13"/>
      <c r="L68" s="64"/>
      <c r="M68" s="64"/>
      <c r="N68" s="64"/>
      <c r="O68" s="64"/>
      <c r="P68" s="64"/>
      <c r="Q68" s="64"/>
      <c r="R68" s="64"/>
      <c r="S68" s="64"/>
    </row>
    <row r="69" spans="1:81" ht="15" customHeight="1" x14ac:dyDescent="0.25">
      <c r="A69" s="20"/>
      <c r="B69" s="27"/>
      <c r="C69" s="55"/>
      <c r="D69" s="56"/>
      <c r="E69" s="28"/>
      <c r="F69" s="53"/>
      <c r="G69" s="57"/>
      <c r="H69" s="49"/>
      <c r="I69" s="20"/>
      <c r="J69" s="13"/>
      <c r="K69" s="13"/>
      <c r="L69" s="64"/>
      <c r="M69" s="64"/>
      <c r="N69" s="64"/>
      <c r="O69" s="64"/>
      <c r="P69" s="65"/>
      <c r="Q69" s="64"/>
      <c r="R69" s="64"/>
      <c r="S69" s="64"/>
    </row>
    <row r="70" spans="1:81" ht="15" customHeight="1" x14ac:dyDescent="0.25">
      <c r="A70" s="20"/>
      <c r="B70" s="27"/>
      <c r="C70" s="55" t="s">
        <v>22</v>
      </c>
      <c r="D70" s="56"/>
      <c r="E70" s="28"/>
      <c r="F70" s="53"/>
      <c r="G70" s="57"/>
      <c r="H70" s="49"/>
      <c r="I70" s="20"/>
      <c r="J70" s="13"/>
      <c r="K70" s="13"/>
      <c r="L70" s="65"/>
      <c r="M70" s="65"/>
      <c r="N70" s="65"/>
      <c r="O70" s="65"/>
      <c r="P70" s="65"/>
      <c r="Q70" s="64"/>
      <c r="R70" s="64"/>
      <c r="S70" s="64"/>
    </row>
    <row r="71" spans="1:81" ht="15" customHeight="1" x14ac:dyDescent="0.25">
      <c r="A71" s="20"/>
      <c r="B71" s="27"/>
      <c r="C71" s="85" t="s">
        <v>81</v>
      </c>
      <c r="D71" s="56"/>
      <c r="E71" s="28"/>
      <c r="F71" s="53"/>
      <c r="G71" s="57"/>
      <c r="H71" s="58"/>
      <c r="I71" s="20"/>
      <c r="J71" s="13"/>
      <c r="K71" s="13"/>
      <c r="L71" s="65"/>
      <c r="M71" s="65"/>
      <c r="N71" s="65"/>
      <c r="O71" s="65"/>
      <c r="P71" s="65"/>
      <c r="Q71" s="64"/>
      <c r="R71" s="64"/>
      <c r="S71" s="64"/>
    </row>
    <row r="72" spans="1:81" ht="15" customHeight="1" x14ac:dyDescent="0.25">
      <c r="A72" s="20"/>
      <c r="B72" s="27"/>
      <c r="C72" s="20"/>
      <c r="D72" s="20"/>
      <c r="E72" s="45"/>
      <c r="F72" s="53"/>
      <c r="G72" s="57"/>
      <c r="H72" s="58"/>
      <c r="I72" s="20"/>
      <c r="J72" s="13"/>
      <c r="K72" s="13"/>
      <c r="L72" s="65"/>
      <c r="M72" s="65"/>
      <c r="N72" s="65"/>
      <c r="O72" s="65"/>
      <c r="P72" s="65"/>
      <c r="Q72" s="64"/>
      <c r="R72" s="64"/>
      <c r="S72" s="64"/>
    </row>
    <row r="73" spans="1:81" ht="15" customHeight="1" x14ac:dyDescent="0.25">
      <c r="A73" s="20"/>
      <c r="B73" s="27"/>
      <c r="C73" s="20"/>
      <c r="D73" s="20"/>
      <c r="E73" s="59"/>
      <c r="F73" s="37"/>
      <c r="G73" s="57"/>
      <c r="H73" s="58"/>
      <c r="I73" s="20"/>
      <c r="J73" s="13"/>
      <c r="K73" s="13"/>
      <c r="L73" s="65"/>
      <c r="M73" s="65"/>
      <c r="N73" s="65"/>
      <c r="O73" s="65"/>
      <c r="P73" s="65"/>
      <c r="Q73" s="64"/>
      <c r="R73" s="64"/>
      <c r="S73" s="64"/>
    </row>
    <row r="74" spans="1:81" ht="15" customHeight="1" x14ac:dyDescent="0.25">
      <c r="A74" s="20"/>
      <c r="B74" s="27"/>
      <c r="C74" s="46"/>
      <c r="D74" s="20"/>
      <c r="E74" s="28"/>
      <c r="F74" s="20"/>
      <c r="G74" s="20"/>
      <c r="H74" s="49"/>
      <c r="I74" s="20"/>
      <c r="J74" s="13"/>
      <c r="K74" s="13"/>
      <c r="L74" s="65"/>
      <c r="M74" s="65"/>
      <c r="N74" s="65"/>
      <c r="O74" s="65"/>
      <c r="P74" s="65"/>
      <c r="Q74" s="64"/>
      <c r="R74" s="64"/>
      <c r="S74" s="64"/>
    </row>
    <row r="75" spans="1:81" ht="15" customHeight="1" x14ac:dyDescent="0.25">
      <c r="A75" s="20"/>
      <c r="B75" s="27"/>
      <c r="C75" s="20"/>
      <c r="D75" s="20"/>
      <c r="E75" s="53"/>
      <c r="F75" s="53"/>
      <c r="G75" s="53"/>
      <c r="H75" s="49"/>
      <c r="I75" s="20"/>
      <c r="J75" s="13"/>
      <c r="K75" s="13"/>
      <c r="L75" s="65"/>
      <c r="M75" s="65"/>
      <c r="N75" s="65"/>
      <c r="O75" s="65"/>
      <c r="P75" s="64"/>
      <c r="Q75" s="64"/>
      <c r="R75" s="64"/>
      <c r="S75" s="64"/>
    </row>
    <row r="76" spans="1:81" ht="15" customHeight="1" x14ac:dyDescent="0.25">
      <c r="A76" s="20"/>
      <c r="B76" s="27"/>
      <c r="C76" s="46" t="s">
        <v>0</v>
      </c>
      <c r="D76" s="20"/>
      <c r="E76" s="28"/>
      <c r="F76" s="53"/>
      <c r="G76" s="53"/>
      <c r="H76" s="25"/>
      <c r="I76" s="20"/>
      <c r="J76" s="13"/>
      <c r="K76" s="13"/>
      <c r="L76" s="64"/>
      <c r="M76" s="64"/>
      <c r="N76" s="64"/>
      <c r="O76" s="64"/>
      <c r="P76" s="64"/>
      <c r="Q76" s="64"/>
      <c r="R76" s="64"/>
      <c r="S76" s="64"/>
    </row>
    <row r="77" spans="1:81" ht="15" customHeight="1" x14ac:dyDescent="0.25">
      <c r="A77" s="20"/>
      <c r="B77" s="27"/>
      <c r="C77" s="46" t="str">
        <f>Q7</f>
        <v>Michal Kopl, Kopl Pro</v>
      </c>
      <c r="D77" s="20"/>
      <c r="E77" s="28"/>
      <c r="F77" s="53"/>
      <c r="G77" s="53"/>
      <c r="H77" s="25"/>
      <c r="I77" s="20"/>
      <c r="J77" s="13"/>
      <c r="K77" s="13"/>
      <c r="L77" s="64"/>
      <c r="M77" s="66"/>
      <c r="N77" s="64"/>
      <c r="O77" s="64"/>
      <c r="P77" s="64"/>
      <c r="Q77" s="64"/>
      <c r="R77" s="64"/>
      <c r="S77" s="64"/>
    </row>
    <row r="78" spans="1:81" ht="15" customHeight="1" x14ac:dyDescent="0.25">
      <c r="A78" s="20"/>
      <c r="B78" s="27"/>
      <c r="C78" s="60" t="str">
        <f>Q10</f>
        <v>+420 777 062 425</v>
      </c>
      <c r="D78" s="20"/>
      <c r="E78" s="28"/>
      <c r="F78" s="31"/>
      <c r="G78" s="31"/>
      <c r="H78" s="25"/>
      <c r="I78" s="20"/>
      <c r="J78" s="13"/>
      <c r="K78" s="13"/>
      <c r="L78" s="67"/>
      <c r="M78" s="64"/>
      <c r="N78" s="64"/>
      <c r="O78" s="64"/>
      <c r="P78" s="64"/>
      <c r="Q78" s="64"/>
      <c r="R78" s="64"/>
      <c r="S78" s="64"/>
    </row>
    <row r="79" spans="1:81" ht="15" customHeight="1" x14ac:dyDescent="0.25">
      <c r="A79" s="20"/>
      <c r="B79" s="27"/>
      <c r="C79" s="8" t="str">
        <f>Q11</f>
        <v>michal@kopl.pro</v>
      </c>
      <c r="D79" s="20"/>
      <c r="E79" s="28"/>
      <c r="F79" s="31"/>
      <c r="G79" s="20"/>
      <c r="H79" s="25"/>
      <c r="I79" s="20"/>
      <c r="J79" s="13"/>
      <c r="K79" s="13"/>
      <c r="L79" s="64"/>
      <c r="M79" s="64"/>
      <c r="N79" s="64"/>
      <c r="O79" s="64"/>
      <c r="P79" s="64"/>
      <c r="Q79" s="64"/>
      <c r="R79" s="64"/>
      <c r="S79" s="64"/>
    </row>
    <row r="80" spans="1:81" ht="15" customHeight="1" thickBot="1" x14ac:dyDescent="0.3">
      <c r="A80" s="20"/>
      <c r="B80" s="30"/>
      <c r="C80" s="61"/>
      <c r="D80" s="61"/>
      <c r="E80" s="62"/>
      <c r="F80" s="63"/>
      <c r="G80" s="61"/>
      <c r="H80" s="26"/>
      <c r="I80" s="20"/>
      <c r="J80" s="13"/>
      <c r="K80" s="13"/>
      <c r="L80" s="64"/>
      <c r="M80" s="64"/>
      <c r="N80" s="64"/>
      <c r="O80" s="64"/>
      <c r="P80" s="64"/>
      <c r="Q80" s="64"/>
      <c r="R80" s="64"/>
      <c r="S80" s="64"/>
    </row>
    <row r="81" spans="1:19" ht="15" customHeight="1" thickTop="1" thickBot="1" x14ac:dyDescent="0.3">
      <c r="A81" s="20"/>
      <c r="B81" s="20"/>
      <c r="C81" s="20"/>
      <c r="D81" s="20"/>
      <c r="E81" s="28"/>
      <c r="F81" s="31"/>
      <c r="G81" s="31"/>
      <c r="H81" s="20"/>
      <c r="I81" s="20"/>
      <c r="J81" s="15"/>
      <c r="K81" s="13"/>
      <c r="L81" s="64"/>
      <c r="M81" s="64"/>
      <c r="N81" s="64"/>
      <c r="O81" s="64"/>
      <c r="P81" s="64"/>
      <c r="Q81" s="64"/>
      <c r="R81" s="64"/>
      <c r="S81" s="64"/>
    </row>
    <row r="82" spans="1:19" ht="15" thickTop="1" x14ac:dyDescent="0.25">
      <c r="I82" s="2"/>
      <c r="J82" s="13"/>
      <c r="K82" s="13"/>
      <c r="L82" s="64"/>
      <c r="M82" s="64"/>
      <c r="N82" s="64"/>
      <c r="O82" s="64"/>
      <c r="P82" s="64"/>
      <c r="Q82" s="64"/>
      <c r="R82" s="64"/>
      <c r="S82" s="64"/>
    </row>
    <row r="83" spans="1:19" x14ac:dyDescent="0.25">
      <c r="F83" s="3"/>
      <c r="G83" s="3"/>
      <c r="J83" s="13"/>
      <c r="K83" s="13"/>
      <c r="L83" s="64"/>
      <c r="M83" s="64"/>
      <c r="N83" s="64"/>
      <c r="O83" s="64"/>
      <c r="P83" s="64"/>
      <c r="Q83" s="64"/>
      <c r="R83" s="64"/>
      <c r="S83" s="64"/>
    </row>
    <row r="84" spans="1:19" x14ac:dyDescent="0.25">
      <c r="J84" s="13"/>
      <c r="K84" s="13"/>
      <c r="L84" s="64"/>
      <c r="M84" s="64"/>
      <c r="N84" s="64"/>
      <c r="O84" s="64"/>
      <c r="P84" s="13"/>
      <c r="Q84" s="13"/>
      <c r="R84" s="13"/>
      <c r="S84" s="13"/>
    </row>
    <row r="85" spans="1:19" x14ac:dyDescent="0.25">
      <c r="J85" s="13"/>
      <c r="K85" s="13"/>
      <c r="L85" s="13" t="s">
        <v>30</v>
      </c>
      <c r="M85" s="13"/>
      <c r="N85" s="13"/>
      <c r="O85" s="13"/>
      <c r="P85" s="13"/>
      <c r="Q85" s="13"/>
      <c r="R85" s="13"/>
      <c r="S85" s="13"/>
    </row>
    <row r="86" spans="1:19" x14ac:dyDescent="0.25">
      <c r="J86" s="13"/>
      <c r="K86" s="13"/>
      <c r="L86" s="13" t="s">
        <v>114</v>
      </c>
      <c r="M86" s="13"/>
      <c r="N86" s="13"/>
      <c r="O86" s="13"/>
      <c r="P86" s="13"/>
      <c r="Q86" s="13"/>
      <c r="R86" s="13"/>
      <c r="S86" s="13"/>
    </row>
    <row r="87" spans="1:19" x14ac:dyDescent="0.25">
      <c r="J87" s="13"/>
      <c r="K87" s="13"/>
      <c r="L87" s="13"/>
      <c r="M87" s="13"/>
      <c r="N87" s="13"/>
      <c r="O87" s="13"/>
      <c r="P87" s="13"/>
      <c r="Q87" s="13"/>
      <c r="R87" s="13"/>
      <c r="S87" s="13"/>
    </row>
    <row r="88" spans="1:19" ht="15" x14ac:dyDescent="0.25">
      <c r="C88" s="68"/>
      <c r="J88" s="13"/>
      <c r="K88" s="13"/>
      <c r="L88" s="13"/>
      <c r="M88" s="13"/>
      <c r="N88" s="13"/>
      <c r="O88" s="13"/>
      <c r="P88" s="13"/>
      <c r="Q88" s="13"/>
      <c r="R88" s="13"/>
      <c r="S88" s="13"/>
    </row>
    <row r="89" spans="1:19" x14ac:dyDescent="0.25">
      <c r="J89" s="13"/>
      <c r="K89" s="13"/>
      <c r="L89" s="13"/>
      <c r="M89" s="13"/>
      <c r="N89" s="13"/>
      <c r="O89" s="13"/>
      <c r="P89" s="13"/>
      <c r="Q89" s="13"/>
      <c r="R89" s="13"/>
      <c r="S89" s="13"/>
    </row>
    <row r="90" spans="1:19" x14ac:dyDescent="0.25">
      <c r="J90" s="13"/>
      <c r="K90" s="13"/>
      <c r="L90" s="13"/>
      <c r="M90" s="13"/>
      <c r="N90" s="13"/>
      <c r="O90" s="13"/>
      <c r="P90" s="13"/>
      <c r="Q90" s="13"/>
      <c r="R90" s="13"/>
      <c r="S90" s="13"/>
    </row>
    <row r="91" spans="1:19" x14ac:dyDescent="0.25">
      <c r="J91" s="13"/>
      <c r="K91" s="13"/>
      <c r="L91" s="13"/>
      <c r="M91" s="13"/>
      <c r="N91" s="13"/>
      <c r="O91" s="13"/>
      <c r="P91" s="13"/>
      <c r="Q91" s="13"/>
      <c r="R91" s="13"/>
      <c r="S91" s="13"/>
    </row>
    <row r="92" spans="1:19" x14ac:dyDescent="0.25">
      <c r="J92" s="13"/>
      <c r="K92" s="13"/>
      <c r="L92" s="13"/>
      <c r="M92" s="13"/>
      <c r="N92" s="13"/>
      <c r="O92" s="13"/>
      <c r="P92" s="13"/>
      <c r="Q92" s="13"/>
      <c r="R92" s="13"/>
      <c r="S92" s="13"/>
    </row>
    <row r="93" spans="1:19" x14ac:dyDescent="0.25">
      <c r="J93" s="13"/>
      <c r="K93" s="13"/>
      <c r="L93" s="13"/>
      <c r="M93" s="13"/>
      <c r="N93" s="13"/>
      <c r="O93" s="13"/>
      <c r="P93" s="13"/>
      <c r="Q93" s="13"/>
      <c r="R93" s="13"/>
      <c r="S93" s="13"/>
    </row>
    <row r="94" spans="1:19" x14ac:dyDescent="0.25">
      <c r="J94" s="13"/>
      <c r="K94" s="13"/>
      <c r="L94" s="13"/>
      <c r="M94" s="13"/>
      <c r="N94" s="13"/>
      <c r="O94" s="13"/>
      <c r="P94" s="13"/>
      <c r="Q94" s="13"/>
      <c r="R94" s="13"/>
      <c r="S94" s="13"/>
    </row>
    <row r="95" spans="1:19" ht="15" x14ac:dyDescent="0.25">
      <c r="D95" s="4"/>
      <c r="J95" s="13"/>
      <c r="K95" s="13"/>
      <c r="L95" s="13"/>
      <c r="M95" s="13"/>
      <c r="N95" s="13"/>
      <c r="O95" s="13"/>
      <c r="P95" s="13"/>
      <c r="Q95" s="13"/>
      <c r="R95" s="13"/>
      <c r="S95" s="13"/>
    </row>
    <row r="96" spans="1:19" x14ac:dyDescent="0.25">
      <c r="J96" s="13"/>
      <c r="K96" s="13"/>
      <c r="L96" s="13"/>
      <c r="M96" s="13"/>
      <c r="N96" s="13"/>
      <c r="O96" s="13"/>
      <c r="P96" s="13"/>
      <c r="Q96" s="13"/>
      <c r="R96" s="13"/>
      <c r="S96" s="13"/>
    </row>
    <row r="97" spans="10:19" x14ac:dyDescent="0.25">
      <c r="J97" s="13"/>
      <c r="K97" s="13"/>
      <c r="L97" s="13"/>
      <c r="M97" s="13"/>
      <c r="N97" s="13"/>
      <c r="O97" s="13"/>
      <c r="P97" s="13"/>
      <c r="Q97" s="13"/>
      <c r="R97" s="13"/>
      <c r="S97" s="13"/>
    </row>
    <row r="98" spans="10:19" x14ac:dyDescent="0.25">
      <c r="J98" s="13"/>
      <c r="K98" s="13"/>
      <c r="L98" s="13"/>
      <c r="M98" s="13"/>
      <c r="N98" s="13"/>
      <c r="O98" s="13"/>
      <c r="P98" s="13"/>
      <c r="Q98" s="13"/>
      <c r="R98" s="13"/>
      <c r="S98" s="13"/>
    </row>
    <row r="99" spans="10:19" x14ac:dyDescent="0.25">
      <c r="J99" s="13"/>
      <c r="K99" s="13"/>
      <c r="L99" s="13"/>
      <c r="M99" s="13"/>
      <c r="N99" s="13"/>
      <c r="O99" s="13"/>
      <c r="P99" s="13"/>
      <c r="Q99" s="13"/>
      <c r="R99" s="13"/>
      <c r="S99" s="13"/>
    </row>
    <row r="100" spans="10:19" x14ac:dyDescent="0.25">
      <c r="J100" s="13"/>
      <c r="K100" s="13"/>
      <c r="L100" s="13"/>
      <c r="M100" s="13"/>
      <c r="N100" s="13"/>
      <c r="O100" s="13"/>
      <c r="P100" s="13"/>
      <c r="Q100" s="13"/>
      <c r="R100" s="13"/>
      <c r="S100" s="13"/>
    </row>
    <row r="101" spans="10:19" x14ac:dyDescent="0.25">
      <c r="J101" s="13"/>
      <c r="K101" s="13"/>
      <c r="L101" s="13"/>
      <c r="M101" s="13"/>
      <c r="N101" s="13"/>
      <c r="O101" s="13"/>
      <c r="P101" s="13"/>
      <c r="Q101" s="13"/>
      <c r="R101" s="13"/>
      <c r="S101" s="13"/>
    </row>
    <row r="102" spans="10:19" x14ac:dyDescent="0.25">
      <c r="J102" s="13"/>
      <c r="K102" s="13"/>
      <c r="L102" s="13"/>
      <c r="M102" s="13"/>
      <c r="N102" s="13"/>
      <c r="O102" s="13"/>
      <c r="P102" s="13"/>
      <c r="Q102" s="13"/>
      <c r="R102" s="13"/>
      <c r="S102" s="13"/>
    </row>
    <row r="103" spans="10:19" x14ac:dyDescent="0.25">
      <c r="J103" s="13"/>
      <c r="K103" s="13"/>
      <c r="L103" s="13"/>
      <c r="M103" s="13"/>
      <c r="N103" s="13"/>
      <c r="O103" s="13"/>
      <c r="P103" s="13"/>
      <c r="Q103" s="13"/>
      <c r="R103" s="13"/>
      <c r="S103" s="13"/>
    </row>
    <row r="104" spans="10:19" x14ac:dyDescent="0.25">
      <c r="J104" s="13"/>
      <c r="K104" s="13"/>
      <c r="L104" s="13"/>
      <c r="M104" s="13"/>
      <c r="N104" s="13"/>
      <c r="O104" s="13"/>
      <c r="P104" s="13"/>
      <c r="Q104" s="13"/>
      <c r="R104" s="13"/>
      <c r="S104" s="13"/>
    </row>
    <row r="105" spans="10:19" x14ac:dyDescent="0.25">
      <c r="J105" s="13"/>
      <c r="K105" s="13"/>
      <c r="L105" s="13"/>
      <c r="M105" s="13"/>
      <c r="N105" s="13"/>
      <c r="O105" s="13"/>
      <c r="P105" s="13"/>
      <c r="Q105" s="13"/>
      <c r="R105" s="13"/>
      <c r="S105" s="13"/>
    </row>
    <row r="106" spans="10:19" x14ac:dyDescent="0.25">
      <c r="J106" s="13"/>
      <c r="K106" s="13"/>
      <c r="L106" s="13"/>
      <c r="M106" s="13"/>
      <c r="N106" s="13"/>
      <c r="O106" s="13"/>
      <c r="P106" s="13"/>
      <c r="Q106" s="13"/>
      <c r="R106" s="13"/>
      <c r="S106" s="13"/>
    </row>
    <row r="107" spans="10:19" x14ac:dyDescent="0.25">
      <c r="J107" s="13"/>
      <c r="K107" s="13"/>
      <c r="L107" s="13"/>
      <c r="M107" s="13"/>
      <c r="N107" s="13"/>
      <c r="O107" s="13"/>
      <c r="P107" s="13"/>
      <c r="Q107" s="13"/>
      <c r="R107" s="13"/>
      <c r="S107" s="13"/>
    </row>
    <row r="108" spans="10:19" x14ac:dyDescent="0.25">
      <c r="J108" s="13"/>
      <c r="K108" s="13"/>
      <c r="L108" s="13"/>
      <c r="M108" s="13"/>
      <c r="N108" s="13"/>
      <c r="O108" s="13"/>
      <c r="P108" s="13"/>
      <c r="Q108" s="13"/>
      <c r="R108" s="13"/>
      <c r="S108" s="13"/>
    </row>
    <row r="109" spans="10:19" x14ac:dyDescent="0.25">
      <c r="J109" s="13"/>
      <c r="K109" s="13"/>
      <c r="L109" s="13"/>
      <c r="M109" s="13"/>
      <c r="N109" s="13"/>
      <c r="O109" s="13"/>
      <c r="P109" s="13"/>
      <c r="Q109" s="13"/>
      <c r="R109" s="13"/>
      <c r="S109" s="13"/>
    </row>
    <row r="110" spans="10:19" x14ac:dyDescent="0.25">
      <c r="J110" s="13"/>
      <c r="K110" s="13"/>
      <c r="L110" s="13"/>
      <c r="M110" s="13"/>
      <c r="N110" s="13"/>
      <c r="O110" s="13"/>
      <c r="P110" s="13"/>
      <c r="Q110" s="13"/>
      <c r="R110" s="13"/>
      <c r="S110" s="13"/>
    </row>
    <row r="111" spans="10:19" x14ac:dyDescent="0.25">
      <c r="J111" s="13"/>
      <c r="K111" s="13"/>
      <c r="L111" s="13"/>
      <c r="M111" s="13"/>
      <c r="N111" s="13"/>
      <c r="O111" s="13"/>
      <c r="P111" s="13"/>
      <c r="Q111" s="13"/>
      <c r="R111" s="13"/>
      <c r="S111" s="13"/>
    </row>
    <row r="112" spans="10:19" x14ac:dyDescent="0.25">
      <c r="J112" s="13"/>
      <c r="K112" s="13"/>
      <c r="L112" s="13"/>
      <c r="M112" s="13"/>
      <c r="N112" s="13"/>
      <c r="O112" s="13"/>
      <c r="P112" s="13"/>
      <c r="Q112" s="13"/>
      <c r="R112" s="13"/>
      <c r="S112" s="13"/>
    </row>
    <row r="113" spans="10:19" x14ac:dyDescent="0.25">
      <c r="J113" s="13"/>
      <c r="K113" s="13"/>
      <c r="L113" s="13"/>
      <c r="M113" s="13"/>
      <c r="N113" s="13"/>
      <c r="O113" s="13"/>
      <c r="P113" s="13"/>
      <c r="Q113" s="13"/>
      <c r="R113" s="13"/>
      <c r="S113" s="13"/>
    </row>
    <row r="114" spans="10:19" x14ac:dyDescent="0.25">
      <c r="J114" s="13"/>
      <c r="K114" s="13"/>
      <c r="L114" s="13"/>
      <c r="M114" s="13"/>
      <c r="N114" s="13"/>
      <c r="O114" s="13"/>
      <c r="P114" s="13"/>
      <c r="Q114" s="13"/>
      <c r="R114" s="13"/>
      <c r="S114" s="13"/>
    </row>
    <row r="115" spans="10:19" x14ac:dyDescent="0.25">
      <c r="J115" s="13"/>
      <c r="K115" s="13"/>
      <c r="L115" s="13"/>
      <c r="M115" s="13"/>
      <c r="N115" s="13"/>
      <c r="O115" s="13"/>
      <c r="P115" s="13"/>
      <c r="Q115" s="13"/>
      <c r="R115" s="13"/>
      <c r="S115" s="13"/>
    </row>
    <row r="116" spans="10:19" x14ac:dyDescent="0.25">
      <c r="J116" s="13"/>
      <c r="K116" s="13"/>
      <c r="L116" s="13"/>
      <c r="M116" s="13"/>
      <c r="N116" s="13"/>
      <c r="O116" s="13"/>
      <c r="P116" s="13"/>
      <c r="Q116" s="13"/>
      <c r="R116" s="13"/>
      <c r="S116" s="13"/>
    </row>
    <row r="117" spans="10:19" x14ac:dyDescent="0.25">
      <c r="J117" s="13"/>
      <c r="K117" s="13"/>
      <c r="L117" s="13"/>
      <c r="M117" s="13"/>
      <c r="N117" s="13"/>
      <c r="O117" s="13"/>
      <c r="P117" s="13"/>
      <c r="Q117" s="13"/>
      <c r="R117" s="13"/>
      <c r="S117" s="13"/>
    </row>
    <row r="118" spans="10:19" x14ac:dyDescent="0.25">
      <c r="J118" s="13"/>
      <c r="K118" s="13"/>
      <c r="L118" s="13"/>
      <c r="M118" s="13"/>
      <c r="N118" s="13"/>
      <c r="O118" s="13"/>
      <c r="P118" s="13"/>
      <c r="Q118" s="13"/>
      <c r="R118" s="13"/>
      <c r="S118" s="13"/>
    </row>
    <row r="119" spans="10:19" x14ac:dyDescent="0.25">
      <c r="L119" s="13"/>
      <c r="M119" s="13"/>
      <c r="N119" s="13"/>
      <c r="O119" s="13"/>
    </row>
  </sheetData>
  <sheetProtection formatCells="0" formatColumns="0" formatRows="0" insertColumns="0" insertRows="0" insertHyperlinks="0" deleteColumns="0" deleteRows="0" sort="0" autoFilter="0" pivotTables="0"/>
  <protectedRanges>
    <protectedRange sqref="C77:C79" name="PodpisVzorce"/>
    <protectedRange sqref="F56:G58" name="CelkemVzorce"/>
    <protectedRange sqref="G47:G53" name="NakladyKProplaceniVzorce"/>
    <protectedRange sqref="C47:F52" name="NakladyKProplaceni"/>
    <protectedRange sqref="C20:F42" name="CinnostiKEditaci"/>
    <protectedRange sqref="G20:G43" name="CinnostiVzorce"/>
    <protectedRange sqref="B6:C11" name="DodavatelVListuVzorce"/>
    <protectedRange sqref="D6:G11" name="ZakaznikVListuVzorce"/>
  </protectedRanges>
  <mergeCells count="43">
    <mergeCell ref="L37:O37"/>
    <mergeCell ref="L38:O38"/>
    <mergeCell ref="B8:C8"/>
    <mergeCell ref="B9:C9"/>
    <mergeCell ref="B10:C10"/>
    <mergeCell ref="L14:O14"/>
    <mergeCell ref="L13:O13"/>
    <mergeCell ref="L11:O11"/>
    <mergeCell ref="O26:U33"/>
    <mergeCell ref="Q14:T14"/>
    <mergeCell ref="Q11:T11"/>
    <mergeCell ref="Q15:T15"/>
    <mergeCell ref="Q12:T12"/>
    <mergeCell ref="Q13:T13"/>
    <mergeCell ref="D7:G7"/>
    <mergeCell ref="D8:G8"/>
    <mergeCell ref="D9:G9"/>
    <mergeCell ref="Q6:T6"/>
    <mergeCell ref="D10:G10"/>
    <mergeCell ref="L8:O8"/>
    <mergeCell ref="L9:O9"/>
    <mergeCell ref="L10:O10"/>
    <mergeCell ref="D6:G6"/>
    <mergeCell ref="Q7:T7"/>
    <mergeCell ref="Q8:T8"/>
    <mergeCell ref="Q9:T9"/>
    <mergeCell ref="Q10:T10"/>
    <mergeCell ref="E53:F53"/>
    <mergeCell ref="E3:F3"/>
    <mergeCell ref="E2:F2"/>
    <mergeCell ref="E4:G4"/>
    <mergeCell ref="L7:O7"/>
    <mergeCell ref="L4:O4"/>
    <mergeCell ref="L6:O6"/>
    <mergeCell ref="L12:O12"/>
    <mergeCell ref="D5:G5"/>
    <mergeCell ref="L33:M33"/>
    <mergeCell ref="L5:O5"/>
    <mergeCell ref="B2:D4"/>
    <mergeCell ref="E43:F43"/>
    <mergeCell ref="B5:C5"/>
    <mergeCell ref="B6:C6"/>
    <mergeCell ref="B7:C7"/>
  </mergeCells>
  <hyperlinks>
    <hyperlink ref="C79" r:id="rId1" display="michal@kopl.pro" xr:uid="{03D0D9F7-F9C1-47D9-99E8-66C4E7A98A34}"/>
    <hyperlink ref="L12" r:id="rId2" display="jan.novak@seznam.cz" xr:uid="{1EB878BA-3E30-46E3-A8DF-D2D0921EFE8F}"/>
    <hyperlink ref="Q11" r:id="rId3" xr:uid="{D87CFEA0-0FCD-4BF4-B76D-0384A5DAEBAE}"/>
    <hyperlink ref="Q14" r:id="rId4" xr:uid="{CC41383F-F481-4FBF-8FF4-8E8BF0573C19}"/>
    <hyperlink ref="U13" r:id="rId5" display="IBAN Kalkulátor" xr:uid="{1B51A204-7CDC-4155-AD6E-8D8A9A16A74F}"/>
    <hyperlink ref="L11" r:id="rId6" xr:uid="{4D3AE22C-659D-4A78-AFCD-064020D4602D}"/>
  </hyperlinks>
  <printOptions horizontalCentered="1" verticalCentered="1"/>
  <pageMargins left="0.23622047244094491" right="0.23622047244094491" top="0.19685039370078741" bottom="0.19685039370078741" header="0.31496062992125984" footer="0.31496062992125984"/>
  <pageSetup paperSize="9" scale="64" orientation="portrait" r:id="rId7"/>
  <headerFooter alignWithMargins="0"/>
  <ignoredErrors>
    <ignoredError sqref="Q10 L10" unlockedFormula="1"/>
  </ignoredErrors>
  <drawing r:id="rId8"/>
  <tableParts count="4"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822AF-FE19-414F-A432-C52BECB7CC08}">
  <sheetPr codeName="Sheet6">
    <pageSetUpPr fitToPage="1"/>
  </sheetPr>
  <dimension ref="A1:CC277"/>
  <sheetViews>
    <sheetView zoomScale="85" zoomScaleNormal="85" zoomScalePageLayoutView="25" workbookViewId="0">
      <selection activeCell="C65" sqref="C65"/>
    </sheetView>
  </sheetViews>
  <sheetFormatPr defaultColWidth="9.140625" defaultRowHeight="14.25" x14ac:dyDescent="0.25"/>
  <cols>
    <col min="1" max="2" width="3.28515625" style="1" customWidth="1"/>
    <col min="3" max="3" width="77.5703125" style="1" bestFit="1" customWidth="1"/>
    <col min="4" max="4" width="13.28515625" style="1" customWidth="1"/>
    <col min="5" max="5" width="20.42578125" style="1" customWidth="1"/>
    <col min="6" max="6" width="13.42578125" style="1" bestFit="1" customWidth="1"/>
    <col min="7" max="7" width="15.7109375" style="1" customWidth="1"/>
    <col min="8" max="9" width="3.28515625" style="1" customWidth="1"/>
    <col min="10" max="11" width="9.140625" style="1"/>
    <col min="12" max="12" width="4.5703125" style="1" customWidth="1"/>
    <col min="13" max="13" width="32.7109375" style="1" bestFit="1" customWidth="1"/>
    <col min="14" max="14" width="2.140625" style="1" customWidth="1"/>
    <col min="15" max="15" width="24.28515625" style="1" customWidth="1"/>
    <col min="16" max="16" width="2.28515625" style="1" customWidth="1"/>
    <col min="17" max="19" width="9.140625" style="1"/>
    <col min="20" max="20" width="21.28515625" style="1" customWidth="1"/>
    <col min="21" max="25" width="9.140625" style="1"/>
    <col min="26" max="26" width="14.42578125" style="1" bestFit="1" customWidth="1"/>
    <col min="27" max="16384" width="9.140625" style="1"/>
  </cols>
  <sheetData>
    <row r="1" spans="1:26" ht="21" thickBot="1" x14ac:dyDescent="0.3">
      <c r="A1" s="20"/>
      <c r="B1" s="20"/>
      <c r="C1" s="20"/>
      <c r="D1" s="20"/>
      <c r="E1" s="20"/>
      <c r="F1" s="20"/>
      <c r="G1" s="20"/>
      <c r="H1" s="20"/>
      <c r="I1" s="20"/>
      <c r="L1" s="12"/>
      <c r="M1" s="12"/>
      <c r="N1" s="12"/>
      <c r="O1" s="12"/>
      <c r="P1" s="12"/>
    </row>
    <row r="2" spans="1:26" ht="21" customHeight="1" thickTop="1" thickBot="1" x14ac:dyDescent="0.3">
      <c r="A2" s="20"/>
      <c r="B2" s="212" t="str" cm="1">
        <f t="array" ref="B2">"ZÁLOHOVÁ FAKTURA Z" &amp; TEXT(((LEFT(TEXT((MAX(VALUE(Vystavené!D14:D79))),"#0000000"),3)*1)+1)&amp;RIGHT(TEXT((MAX(VALUE(Vystavené!D14:D79))),"#0000000"),4),"#0000000")&amp;" "</f>
        <v xml:space="preserve">ZÁLOHOVÁ FAKTURA Z0132023 </v>
      </c>
      <c r="C2" s="212"/>
      <c r="D2" s="213"/>
      <c r="E2" s="163" t="s">
        <v>32</v>
      </c>
      <c r="F2" s="164"/>
      <c r="G2" s="21">
        <f ca="1">Nabídka!G2</f>
        <v>45157</v>
      </c>
      <c r="H2" s="22"/>
      <c r="I2" s="20"/>
      <c r="T2" s="16"/>
    </row>
    <row r="3" spans="1:26" ht="21" customHeight="1" thickTop="1" thickBot="1" x14ac:dyDescent="0.3">
      <c r="A3" s="20"/>
      <c r="B3" s="212"/>
      <c r="C3" s="212"/>
      <c r="D3" s="213"/>
      <c r="E3" s="161" t="s">
        <v>33</v>
      </c>
      <c r="F3" s="162"/>
      <c r="G3" s="24">
        <f ca="1">Nabídka!G2+L3</f>
        <v>45171</v>
      </c>
      <c r="H3" s="25"/>
      <c r="I3" s="20"/>
      <c r="L3" s="147">
        <v>14</v>
      </c>
      <c r="M3" s="1" t="str">
        <f>" "&amp;"doba splatnosti v kalendářních dnech"</f>
        <v xml:space="preserve"> doba splatnosti v kalendářních dnech</v>
      </c>
      <c r="T3" s="16"/>
    </row>
    <row r="4" spans="1:26" ht="15.75" customHeight="1" thickTop="1" thickBot="1" x14ac:dyDescent="0.3">
      <c r="A4" s="20"/>
      <c r="B4" s="212"/>
      <c r="C4" s="212"/>
      <c r="D4" s="213"/>
      <c r="E4" s="165" t="str">
        <f>"Název projektu: "&amp;Nabídka!L5</f>
        <v>Název projektu: Europa 2023</v>
      </c>
      <c r="F4" s="166"/>
      <c r="G4" s="166"/>
      <c r="H4" s="26"/>
      <c r="I4" s="20"/>
      <c r="L4" s="156" t="s">
        <v>126</v>
      </c>
      <c r="M4" s="157"/>
      <c r="N4" s="157"/>
      <c r="O4" s="157"/>
    </row>
    <row r="5" spans="1:26" s="150" customFormat="1" ht="16.5" customHeight="1" thickTop="1" x14ac:dyDescent="0.25">
      <c r="A5" s="148"/>
      <c r="B5" s="175" t="str">
        <f>"      Dodavatel:"</f>
        <v xml:space="preserve">      Dodavatel:</v>
      </c>
      <c r="C5" s="186"/>
      <c r="D5" s="175" t="str">
        <f>"      Zákazník:"</f>
        <v xml:space="preserve">      Zákazník:</v>
      </c>
      <c r="E5" s="176"/>
      <c r="F5" s="176"/>
      <c r="G5" s="176"/>
      <c r="H5" s="149"/>
      <c r="I5" s="148"/>
      <c r="L5" s="211"/>
      <c r="M5" s="211"/>
      <c r="N5" s="211"/>
      <c r="O5" s="211"/>
      <c r="Z5" s="151"/>
    </row>
    <row r="6" spans="1:26" ht="15" customHeight="1" x14ac:dyDescent="0.25">
      <c r="A6" s="20"/>
      <c r="B6" s="187" t="str">
        <f>"      "&amp;Nabídka!Q7</f>
        <v xml:space="preserve">      Michal Kopl, Kopl Pro</v>
      </c>
      <c r="C6" s="188"/>
      <c r="D6" s="189" t="str">
        <f>Nabídka!D6</f>
        <v xml:space="preserve">      Jan Novák, Grand Hotel EUROPA</v>
      </c>
      <c r="E6" s="190"/>
      <c r="F6" s="190"/>
      <c r="G6" s="190"/>
      <c r="H6" s="25"/>
      <c r="I6" s="20"/>
      <c r="L6" s="171"/>
      <c r="M6" s="171"/>
      <c r="N6" s="171"/>
      <c r="O6" s="171"/>
      <c r="Q6" s="191"/>
      <c r="R6" s="191"/>
      <c r="S6" s="191"/>
      <c r="T6" s="191"/>
    </row>
    <row r="7" spans="1:26" ht="15" customHeight="1" x14ac:dyDescent="0.25">
      <c r="A7" s="20"/>
      <c r="B7" s="187" t="str">
        <f>"      "&amp;Nabídka!Q8&amp;", "&amp;Nabídka!Q9</f>
        <v xml:space="preserve">      Krškova 783/15, Praha 5 - Hlubočepy, Česká Republika, 152 00</v>
      </c>
      <c r="C7" s="188"/>
      <c r="D7" s="189" t="str">
        <f>Nabídka!D7</f>
        <v xml:space="preserve">      Václavské nám. 378, Praha 1 - Nové Město</v>
      </c>
      <c r="E7" s="190"/>
      <c r="F7" s="190"/>
      <c r="G7" s="190"/>
      <c r="H7" s="25"/>
      <c r="I7" s="20"/>
      <c r="L7" s="214"/>
      <c r="M7" s="214"/>
      <c r="N7" s="214"/>
      <c r="O7" s="214"/>
      <c r="Q7" s="214"/>
      <c r="R7" s="214"/>
      <c r="S7" s="214"/>
      <c r="T7" s="214"/>
    </row>
    <row r="8" spans="1:26" ht="15" customHeight="1" x14ac:dyDescent="0.25">
      <c r="A8" s="20"/>
      <c r="B8" s="187" t="str">
        <f>"      "&amp;Nabídka!Q10&amp;"  /  "&amp;Nabídka!Q11&amp;" "&amp;", "&amp;Nabídka!Q15</f>
        <v xml:space="preserve">      +420 777 062 425  /  michal@kopl.pro , IČO: 03217213</v>
      </c>
      <c r="C8" s="188"/>
      <c r="D8" s="189" t="str">
        <f>Nabídka!D8</f>
        <v xml:space="preserve">      Česká Republika, 110 00</v>
      </c>
      <c r="E8" s="190"/>
      <c r="F8" s="190"/>
      <c r="G8" s="190"/>
      <c r="H8" s="25"/>
      <c r="I8" s="20"/>
      <c r="L8" s="214"/>
      <c r="M8" s="214"/>
      <c r="N8" s="214"/>
      <c r="O8" s="214"/>
      <c r="Q8" s="214"/>
      <c r="R8" s="214"/>
      <c r="S8" s="214"/>
      <c r="T8" s="214"/>
    </row>
    <row r="9" spans="1:26" ht="15" customHeight="1" x14ac:dyDescent="0.25">
      <c r="A9" s="20"/>
      <c r="B9" s="187" t="str">
        <f>"      "&amp;"b.a.: "&amp;Nabídka!Q12&amp;"      IBAN: "&amp;Nabídka!Q13</f>
        <v xml:space="preserve">      b.a.: 670100-2200921129/6210      IBAN: CZ2062106701002200921129</v>
      </c>
      <c r="C9" s="188"/>
      <c r="D9" s="189" t="str">
        <f>Nabídka!D9</f>
        <v xml:space="preserve">      +420 999 999 999   /   jan.novak@seznam.cz</v>
      </c>
      <c r="E9" s="190"/>
      <c r="F9" s="190"/>
      <c r="G9" s="190"/>
      <c r="H9" s="25"/>
      <c r="I9" s="20"/>
      <c r="L9" s="215"/>
      <c r="M9" s="215"/>
      <c r="N9" s="215"/>
      <c r="O9" s="215"/>
      <c r="P9" s="9"/>
      <c r="Q9" s="214"/>
      <c r="R9" s="214"/>
      <c r="S9" s="214"/>
      <c r="T9" s="214"/>
    </row>
    <row r="10" spans="1:26" ht="15" customHeight="1" x14ac:dyDescent="0.25">
      <c r="A10" s="20"/>
      <c r="B10" s="187" t="str">
        <f>"      "&amp;Nabídka!Q14</f>
        <v xml:space="preserve">      https://www.kopl.pro</v>
      </c>
      <c r="C10" s="188"/>
      <c r="D10" s="189" t="str">
        <f>Nabídka!D10</f>
        <v xml:space="preserve">      IČO: 12345678</v>
      </c>
      <c r="E10" s="190"/>
      <c r="F10" s="190"/>
      <c r="G10" s="190"/>
      <c r="H10" s="25"/>
      <c r="I10" s="20"/>
      <c r="L10" s="214"/>
      <c r="M10" s="214"/>
      <c r="N10" s="214"/>
      <c r="O10" s="214"/>
      <c r="Q10" s="214"/>
      <c r="R10" s="214"/>
      <c r="S10" s="214"/>
      <c r="T10" s="214"/>
    </row>
    <row r="11" spans="1:26" ht="15" customHeight="1" thickBot="1" x14ac:dyDescent="0.3">
      <c r="A11" s="20"/>
      <c r="B11" s="30"/>
      <c r="C11" s="19"/>
      <c r="D11" s="27"/>
      <c r="E11" s="20"/>
      <c r="F11" s="31"/>
      <c r="G11" s="31"/>
      <c r="H11" s="25"/>
      <c r="I11" s="20"/>
      <c r="L11" s="216"/>
      <c r="M11" s="214"/>
      <c r="N11" s="214"/>
      <c r="O11" s="214"/>
      <c r="Q11" s="216"/>
      <c r="R11" s="214"/>
      <c r="S11" s="214"/>
      <c r="T11" s="214"/>
    </row>
    <row r="12" spans="1:26" ht="15" customHeight="1" thickTop="1" x14ac:dyDescent="0.25">
      <c r="A12" s="20"/>
      <c r="B12" s="32"/>
      <c r="C12" s="33"/>
      <c r="D12" s="34"/>
      <c r="E12" s="34"/>
      <c r="F12" s="35"/>
      <c r="G12" s="35"/>
      <c r="H12" s="22"/>
      <c r="I12" s="20"/>
      <c r="Q12" s="214"/>
      <c r="R12" s="214"/>
      <c r="S12" s="214"/>
      <c r="T12" s="214"/>
    </row>
    <row r="13" spans="1:26" ht="15" customHeight="1" x14ac:dyDescent="0.25">
      <c r="A13" s="20"/>
      <c r="B13" s="27"/>
      <c r="C13" s="23"/>
      <c r="D13" s="29"/>
      <c r="E13" s="29"/>
      <c r="F13" s="31"/>
      <c r="G13" s="31"/>
      <c r="H13" s="25"/>
      <c r="I13" s="20"/>
      <c r="Q13" s="214"/>
      <c r="R13" s="214"/>
      <c r="S13" s="214"/>
      <c r="T13" s="214"/>
      <c r="U13" s="18"/>
    </row>
    <row r="14" spans="1:26" ht="15" customHeight="1" x14ac:dyDescent="0.25">
      <c r="A14" s="20"/>
      <c r="B14" s="27"/>
      <c r="C14" s="20"/>
      <c r="D14" s="36"/>
      <c r="E14" s="28"/>
      <c r="F14" s="31"/>
      <c r="G14" s="31"/>
      <c r="H14" s="25"/>
      <c r="I14" s="20"/>
      <c r="Q14" s="216"/>
      <c r="R14" s="214"/>
      <c r="S14" s="214"/>
      <c r="T14" s="214"/>
    </row>
    <row r="15" spans="1:26" ht="15" customHeight="1" x14ac:dyDescent="0.25">
      <c r="A15" s="20"/>
      <c r="B15" s="27"/>
      <c r="C15" s="37" t="s">
        <v>10</v>
      </c>
      <c r="D15" s="38" t="s">
        <v>11</v>
      </c>
      <c r="E15" s="39" t="s">
        <v>3</v>
      </c>
      <c r="F15" s="40"/>
      <c r="G15" s="31"/>
      <c r="H15" s="25"/>
      <c r="I15" s="20"/>
      <c r="L15" s="10"/>
      <c r="T15" s="5"/>
    </row>
    <row r="16" spans="1:26" ht="15" customHeight="1" x14ac:dyDescent="0.25">
      <c r="A16" s="20"/>
      <c r="B16" s="27"/>
      <c r="C16" s="20" t="str">
        <f>Nabídka!C16</f>
        <v>Full Remote</v>
      </c>
      <c r="D16" s="41">
        <f ca="1">Nabídka!G3</f>
        <v>45187</v>
      </c>
      <c r="E16" s="42" t="str">
        <f>IF(Nabídka!L16=1,Nabídka!L16&amp;" pracovní den",IF(AND(Nabídka!L16&gt;1,Nabídka!L16&lt;5),Nabídka!L16&amp;" pracovní dny",Nabídka!L16&amp;" pracovních dnů"))</f>
        <v>120 pracovních dnů</v>
      </c>
      <c r="F16" s="43"/>
      <c r="G16" s="31"/>
      <c r="H16" s="25"/>
      <c r="I16" s="20"/>
      <c r="L16" s="74"/>
      <c r="M16" s="10"/>
      <c r="T16" s="5"/>
    </row>
    <row r="17" spans="1:23" ht="15" customHeight="1" x14ac:dyDescent="0.25">
      <c r="A17" s="20"/>
      <c r="B17" s="27"/>
      <c r="C17" s="20"/>
      <c r="D17" s="44"/>
      <c r="E17" s="28"/>
      <c r="F17" s="31"/>
      <c r="G17" s="31"/>
      <c r="H17" s="25"/>
      <c r="I17" s="20"/>
      <c r="T17" s="6"/>
    </row>
    <row r="18" spans="1:23" ht="15" customHeight="1" x14ac:dyDescent="0.25">
      <c r="A18" s="20"/>
      <c r="B18" s="27"/>
      <c r="C18" s="37"/>
      <c r="D18" s="37"/>
      <c r="E18" s="45"/>
      <c r="F18" s="31"/>
      <c r="G18" s="31"/>
      <c r="H18" s="25"/>
      <c r="I18" s="20"/>
    </row>
    <row r="19" spans="1:23" ht="15" customHeight="1" x14ac:dyDescent="0.25">
      <c r="A19" s="20"/>
      <c r="B19" s="27"/>
      <c r="C19" s="20" t="s">
        <v>13</v>
      </c>
      <c r="D19" s="46" t="s">
        <v>14</v>
      </c>
      <c r="E19" s="42" t="s">
        <v>15</v>
      </c>
      <c r="F19" s="47" t="s">
        <v>17</v>
      </c>
      <c r="G19" s="47" t="s">
        <v>16</v>
      </c>
      <c r="H19" s="48"/>
      <c r="I19" s="20"/>
      <c r="L19" s="10"/>
    </row>
    <row r="20" spans="1:23" ht="15" customHeight="1" x14ac:dyDescent="0.25">
      <c r="A20" s="20"/>
      <c r="B20" s="27"/>
      <c r="C20" s="72" t="str">
        <f>IF(Nabídka!C20&lt;&gt;"",Nabídka!C20,"")</f>
        <v>.htaccess soubor, přesměrování na HTTPS + certifikát Let's Encrypt</v>
      </c>
      <c r="D20" s="46" t="str">
        <f>IF(Nabídka!D20&lt;&gt;"",Nabídka!D20,"")</f>
        <v>soubor</v>
      </c>
      <c r="E20" s="46">
        <f>IF(Nabídka!E20&lt;&gt;"",Nabídka!E20,"")</f>
        <v>2</v>
      </c>
      <c r="F20" s="126">
        <f>IF(Nabídka!F20&lt;&gt;"",Nabídka!F20,"")</f>
        <v>50</v>
      </c>
      <c r="G20" s="126">
        <f>IF(AND((Nabídka!C20&lt;&gt;""),(Nabídka!D20&lt;&gt;""),(Nabídka!E20&lt;&gt;""),(Nabídka!F20&lt;&gt;"")),(Nabídka!E20*Nabídka!F20),"")</f>
        <v>100</v>
      </c>
      <c r="H20" s="48"/>
      <c r="I20" s="20"/>
      <c r="M20" s="7"/>
      <c r="W20" s="71"/>
    </row>
    <row r="21" spans="1:23" ht="15" customHeight="1" x14ac:dyDescent="0.25">
      <c r="A21" s="20"/>
      <c r="B21" s="27"/>
      <c r="C21" s="72" t="str">
        <f>IF(Nabídka!C21&lt;&gt;"",Nabídka!C21,"")</f>
        <v>Google Analytics - Nastavení v šabloně + přístup</v>
      </c>
      <c r="D21" s="46" t="str">
        <f>IF(Nabídka!D21&lt;&gt;"",Nabídka!D21,"")</f>
        <v>skript</v>
      </c>
      <c r="E21" s="46">
        <f>IF(Nabídka!E21&lt;&gt;"",Nabídka!E21,"")</f>
        <v>2</v>
      </c>
      <c r="F21" s="126">
        <f>IF(Nabídka!F21&lt;&gt;"",Nabídka!F21,"")</f>
        <v>50</v>
      </c>
      <c r="G21" s="126">
        <f>IF(AND((Nabídka!C21&lt;&gt;""),(Nabídka!D21&lt;&gt;""),(Nabídka!E21&lt;&gt;""),(Nabídka!F21&lt;&gt;"")),(Nabídka!E21*Nabídka!F21),"")</f>
        <v>100</v>
      </c>
      <c r="H21" s="48"/>
      <c r="I21" s="20"/>
      <c r="M21" s="7"/>
      <c r="W21" s="71"/>
    </row>
    <row r="22" spans="1:23" ht="15" customHeight="1" x14ac:dyDescent="0.25">
      <c r="A22" s="20"/>
      <c r="B22" s="27"/>
      <c r="C22" s="72" t="str">
        <f>IF(Nabídka!C22&lt;&gt;"",Nabídka!C22,"")</f>
        <v>Instalace (CMS) Joomla!, uživatelské přístupy, kategorie</v>
      </c>
      <c r="D22" s="46" t="str">
        <f>IF(Nabídka!D22&lt;&gt;"",Nabídka!D22,"")</f>
        <v>CMS</v>
      </c>
      <c r="E22" s="46">
        <f>IF(Nabídka!E22&lt;&gt;"",Nabídka!E22,"")</f>
        <v>2</v>
      </c>
      <c r="F22" s="126">
        <f>IF(Nabídka!F22&lt;&gt;"",Nabídka!F22,"")</f>
        <v>100</v>
      </c>
      <c r="G22" s="126">
        <f>IF(AND((Nabídka!C22&lt;&gt;""),(Nabídka!D22&lt;&gt;""),(Nabídka!E22&lt;&gt;""),(Nabídka!F22&lt;&gt;"")),(Nabídka!E22*Nabídka!F22),"")</f>
        <v>200</v>
      </c>
      <c r="H22" s="48"/>
      <c r="I22" s="20"/>
      <c r="L22" s="10"/>
      <c r="M22" s="7"/>
      <c r="W22" s="71"/>
    </row>
    <row r="23" spans="1:23" ht="15" customHeight="1" x14ac:dyDescent="0.25">
      <c r="A23" s="20"/>
      <c r="B23" s="27"/>
      <c r="C23" s="72" t="str">
        <f>IF(Nabídka!C23&lt;&gt;"",Nabídka!C23,"")</f>
        <v>KeePass databáze s použitými hesly (*.kdbx) + Master heslo pro přístup</v>
      </c>
      <c r="D23" s="46" t="str">
        <f>IF(Nabídka!D23&lt;&gt;"",Nabídka!D23,"")</f>
        <v>DB</v>
      </c>
      <c r="E23" s="46">
        <f>IF(Nabídka!E23&lt;&gt;"",Nabídka!E23,"")</f>
        <v>1</v>
      </c>
      <c r="F23" s="126">
        <f>IF(Nabídka!F23&lt;&gt;"",Nabídka!F23,"")</f>
        <v>50</v>
      </c>
      <c r="G23" s="126">
        <f>IF(AND((Nabídka!C23&lt;&gt;""),(Nabídka!D23&lt;&gt;""),(Nabídka!E23&lt;&gt;""),(Nabídka!F23&lt;&gt;"")),(Nabídka!E23*Nabídka!F23),"")</f>
        <v>50</v>
      </c>
      <c r="H23" s="48"/>
      <c r="I23" s="20"/>
      <c r="M23" s="7"/>
      <c r="W23" s="71"/>
    </row>
    <row r="24" spans="1:23" ht="15" customHeight="1" x14ac:dyDescent="0.25">
      <c r="A24" s="20"/>
      <c r="B24" s="27"/>
      <c r="C24" s="72" t="str">
        <f>IF(Nabídka!C24&lt;&gt;"",Nabídka!C24,"")</f>
        <v>konfig. webhostingu (NSSET, MySQL, FTP, e-maily, webserver, PHP, statistiky)</v>
      </c>
      <c r="D24" s="46" t="str">
        <f>IF(Nabídka!D24&lt;&gt;"",Nabídka!D24,"")</f>
        <v>doména</v>
      </c>
      <c r="E24" s="46">
        <f>IF(Nabídka!E24&lt;&gt;"",Nabídka!E24,"")</f>
        <v>2</v>
      </c>
      <c r="F24" s="126">
        <f>IF(Nabídka!F24&lt;&gt;"",Nabídka!F24,"")</f>
        <v>50</v>
      </c>
      <c r="G24" s="126">
        <f>IF(AND((Nabídka!C24&lt;&gt;""),(Nabídka!D24&lt;&gt;""),(Nabídka!E24&lt;&gt;""),(Nabídka!F24&lt;&gt;"")),(Nabídka!E24*Nabídka!F24),"")</f>
        <v>100</v>
      </c>
      <c r="H24" s="48"/>
      <c r="I24" s="20"/>
      <c r="L24" s="10"/>
      <c r="M24" s="7"/>
      <c r="W24" s="71"/>
    </row>
    <row r="25" spans="1:23" ht="15" customHeight="1" x14ac:dyDescent="0.25">
      <c r="A25" s="20"/>
      <c r="B25" s="27"/>
      <c r="C25" s="72" t="str">
        <f>IF(Nabídka!C25&lt;&gt;"",Nabídka!C25,"")</f>
        <v>Konfigurace Recaptcha na formuláři (secret key, site key)</v>
      </c>
      <c r="D25" s="46" t="str">
        <f>IF(Nabídka!D25&lt;&gt;"",Nabídka!D25,"")</f>
        <v>pár klíčů</v>
      </c>
      <c r="E25" s="46">
        <f>IF(Nabídka!E25&lt;&gt;"",Nabídka!E25,"")</f>
        <v>2</v>
      </c>
      <c r="F25" s="126">
        <f>IF(Nabídka!F25&lt;&gt;"",Nabídka!F25,"")</f>
        <v>50</v>
      </c>
      <c r="G25" s="126">
        <f>IF(AND((Nabídka!C25&lt;&gt;""),(Nabídka!D25&lt;&gt;""),(Nabídka!E25&lt;&gt;""),(Nabídka!F25&lt;&gt;"")),(Nabídka!E25*Nabídka!F25),"")</f>
        <v>100</v>
      </c>
      <c r="H25" s="48"/>
      <c r="I25" s="20"/>
      <c r="M25" s="7"/>
      <c r="W25" s="71"/>
    </row>
    <row r="26" spans="1:23" ht="15" customHeight="1" x14ac:dyDescent="0.25">
      <c r="A26" s="20"/>
      <c r="B26" s="27"/>
      <c r="C26" s="72" t="str">
        <f>IF(Nabídka!C26&lt;&gt;"",Nabídka!C26,"")</f>
        <v>Kontaktní formulář (mapa, jméno, email, telefon, zpráva - odesíláno na e-mail)</v>
      </c>
      <c r="D26" s="46" t="str">
        <f>IF(Nabídka!D26&lt;&gt;"",Nabídka!D26,"")</f>
        <v>formulář</v>
      </c>
      <c r="E26" s="46">
        <f>IF(Nabídka!E26&lt;&gt;"",Nabídka!E26,"")</f>
        <v>2</v>
      </c>
      <c r="F26" s="126">
        <f>IF(Nabídka!F26&lt;&gt;"",Nabídka!F26,"")</f>
        <v>300</v>
      </c>
      <c r="G26" s="126">
        <f>IF(AND((Nabídka!C26&lt;&gt;""),(Nabídka!D26&lt;&gt;""),(Nabídka!E26&lt;&gt;""),(Nabídka!F26&lt;&gt;"")),(Nabídka!E26*Nabídka!F26),"")</f>
        <v>600</v>
      </c>
      <c r="H26" s="48"/>
      <c r="I26" s="20"/>
      <c r="M26" s="7"/>
      <c r="O26" s="217"/>
      <c r="P26" s="217"/>
      <c r="Q26" s="217"/>
      <c r="R26" s="217"/>
      <c r="S26" s="217"/>
      <c r="T26" s="217"/>
      <c r="W26" s="71"/>
    </row>
    <row r="27" spans="1:23" ht="15" customHeight="1" x14ac:dyDescent="0.25">
      <c r="A27" s="20"/>
      <c r="B27" s="27"/>
      <c r="C27" s="72" t="str">
        <f>IF(Nabídka!C27&lt;&gt;"",Nabídka!C27,"")</f>
        <v>responzivní 404 stránka pro chybné URL adresy (návratová stránka)</v>
      </c>
      <c r="D27" s="46" t="str">
        <f>IF(Nabídka!D27&lt;&gt;"",Nabídka!D27,"")</f>
        <v>stránka</v>
      </c>
      <c r="E27" s="46">
        <f>IF(Nabídka!E27&lt;&gt;"",Nabídka!E27,"")</f>
        <v>2</v>
      </c>
      <c r="F27" s="126">
        <f>IF(Nabídka!F27&lt;&gt;"",Nabídka!F27,"")</f>
        <v>500</v>
      </c>
      <c r="G27" s="126">
        <f>IF(AND((Nabídka!C27&lt;&gt;""),(Nabídka!D27&lt;&gt;""),(Nabídka!E27&lt;&gt;""),(Nabídka!F27&lt;&gt;"")),(Nabídka!E27*Nabídka!F27),"")</f>
        <v>1000</v>
      </c>
      <c r="H27" s="48"/>
      <c r="I27" s="20"/>
      <c r="M27" s="7"/>
      <c r="O27" s="217"/>
      <c r="P27" s="217"/>
      <c r="Q27" s="217"/>
      <c r="R27" s="217"/>
      <c r="S27" s="217"/>
      <c r="T27" s="217"/>
      <c r="W27" s="71"/>
    </row>
    <row r="28" spans="1:23" ht="15" customHeight="1" x14ac:dyDescent="0.25">
      <c r="A28" s="20"/>
      <c r="B28" s="27"/>
      <c r="C28" s="72" t="str">
        <f>IF(Nabídka!C28&lt;&gt;"",Nabídka!C28,"")</f>
        <v>responzivní Galerie s 10ti snímky s popisem</v>
      </c>
      <c r="D28" s="46" t="str">
        <f>IF(Nabídka!D28&lt;&gt;"",Nabídka!D28,"")</f>
        <v>galerie</v>
      </c>
      <c r="E28" s="46">
        <f>IF(Nabídka!E28&lt;&gt;"",Nabídka!E28,"")</f>
        <v>2</v>
      </c>
      <c r="F28" s="126">
        <f>IF(Nabídka!F28&lt;&gt;"",Nabídka!F28,"")</f>
        <v>50</v>
      </c>
      <c r="G28" s="126">
        <f>IF(AND((Nabídka!C28&lt;&gt;""),(Nabídka!D28&lt;&gt;""),(Nabídka!E28&lt;&gt;""),(Nabídka!F28&lt;&gt;"")),(Nabídka!E28*Nabídka!F28),"")</f>
        <v>100</v>
      </c>
      <c r="H28" s="48"/>
      <c r="I28" s="20"/>
      <c r="M28" s="7"/>
      <c r="O28" s="217"/>
      <c r="P28" s="217"/>
      <c r="Q28" s="217"/>
      <c r="R28" s="217"/>
      <c r="S28" s="217"/>
      <c r="T28" s="217"/>
      <c r="W28" s="71"/>
    </row>
    <row r="29" spans="1:23" ht="15" customHeight="1" x14ac:dyDescent="0.25">
      <c r="A29" s="20"/>
      <c r="B29" s="27"/>
      <c r="C29" s="72" t="str">
        <f>IF(Nabídka!C29&lt;&gt;"",Nabídka!C29,"")</f>
        <v>responzivní stránky (Home page, O nás, Kontakt)</v>
      </c>
      <c r="D29" s="46" t="str">
        <f>IF(Nabídka!D29&lt;&gt;"",Nabídka!D29,"")</f>
        <v>stránka</v>
      </c>
      <c r="E29" s="46">
        <f>IF(Nabídka!E29&lt;&gt;"",Nabídka!E29,"")</f>
        <v>3</v>
      </c>
      <c r="F29" s="126">
        <f>IF(Nabídka!F29&lt;&gt;"",Nabídka!F29,"")</f>
        <v>500</v>
      </c>
      <c r="G29" s="126">
        <f>IF(AND((Nabídka!C29&lt;&gt;""),(Nabídka!D29&lt;&gt;""),(Nabídka!E29&lt;&gt;""),(Nabídka!F29&lt;&gt;"")),(Nabídka!E29*Nabídka!F29),"")</f>
        <v>1500</v>
      </c>
      <c r="H29" s="48"/>
      <c r="I29" s="20"/>
      <c r="M29" s="7"/>
      <c r="O29" s="217"/>
      <c r="P29" s="217"/>
      <c r="Q29" s="217"/>
      <c r="R29" s="217"/>
      <c r="S29" s="217"/>
      <c r="T29" s="217"/>
      <c r="W29" s="71"/>
    </row>
    <row r="30" spans="1:23" ht="15" customHeight="1" x14ac:dyDescent="0.25">
      <c r="A30" s="20"/>
      <c r="B30" s="27"/>
      <c r="C30" s="72" t="str">
        <f>IF(Nabídka!C30&lt;&gt;"",Nabídka!C30,"")</f>
        <v>Responzivní šablona pro použití v 5ti zařízeních - různé šířky displejů</v>
      </c>
      <c r="D30" s="46" t="str">
        <f>IF(Nabídka!D30&lt;&gt;"",Nabídka!D30,"")</f>
        <v>šablona</v>
      </c>
      <c r="E30" s="46">
        <f>IF(Nabídka!E30&lt;&gt;"",Nabídka!E30,"")</f>
        <v>2</v>
      </c>
      <c r="F30" s="126">
        <f>IF(Nabídka!F30&lt;&gt;"",Nabídka!F30,"")</f>
        <v>1500</v>
      </c>
      <c r="G30" s="126">
        <f>IF(AND((Nabídka!C30&lt;&gt;""),(Nabídka!D30&lt;&gt;""),(Nabídka!E30&lt;&gt;""),(Nabídka!F30&lt;&gt;"")),(Nabídka!E30*Nabídka!F30),"")</f>
        <v>3000</v>
      </c>
      <c r="H30" s="48"/>
      <c r="I30" s="20"/>
      <c r="M30" s="7"/>
      <c r="O30" s="217"/>
      <c r="P30" s="217"/>
      <c r="Q30" s="217"/>
      <c r="R30" s="217"/>
      <c r="S30" s="217"/>
      <c r="T30" s="217"/>
      <c r="W30" s="71"/>
    </row>
    <row r="31" spans="1:23" ht="15" customHeight="1" x14ac:dyDescent="0.25">
      <c r="A31" s="20"/>
      <c r="B31" s="27"/>
      <c r="C31" s="72" t="str">
        <f>IF(Nabídka!C31&lt;&gt;"",Nabídka!C31,"")</f>
        <v>SEO analýza konkurence (1. výsledek z Google.com na KW "ubytování" a "hotely")</v>
      </c>
      <c r="D31" s="46" t="str">
        <f>IF(Nabídka!D31&lt;&gt;"",Nabídka!D31,"")</f>
        <v>analýza</v>
      </c>
      <c r="E31" s="46">
        <f>IF(Nabídka!E31&lt;&gt;"",Nabídka!E31,"")</f>
        <v>2</v>
      </c>
      <c r="F31" s="126">
        <f>IF(Nabídka!F31&lt;&gt;"",Nabídka!F31,"")</f>
        <v>2500</v>
      </c>
      <c r="G31" s="126">
        <f>IF(AND((Nabídka!C31&lt;&gt;""),(Nabídka!D31&lt;&gt;""),(Nabídka!E31&lt;&gt;""),(Nabídka!F31&lt;&gt;"")),(Nabídka!E31*Nabídka!F31),"")</f>
        <v>5000</v>
      </c>
      <c r="H31" s="48"/>
      <c r="I31" s="20"/>
      <c r="L31" s="77"/>
      <c r="M31" s="77"/>
      <c r="N31" s="77"/>
      <c r="O31" s="217"/>
      <c r="P31" s="217"/>
      <c r="Q31" s="217"/>
      <c r="R31" s="217"/>
      <c r="S31" s="217"/>
      <c r="T31" s="217"/>
      <c r="W31" s="71"/>
    </row>
    <row r="32" spans="1:23" ht="15" customHeight="1" x14ac:dyDescent="0.25">
      <c r="A32" s="20"/>
      <c r="B32" s="27"/>
      <c r="C32" s="72" t="str">
        <f>IF(Nabídka!C32&lt;&gt;"",Nabídka!C32,"")</f>
        <v>SEO analýza webu mojehotely.cz (on-page, off-page)</v>
      </c>
      <c r="D32" s="46" t="str">
        <f>IF(Nabídka!D32&lt;&gt;"",Nabídka!D32,"")</f>
        <v>analýza</v>
      </c>
      <c r="E32" s="46">
        <f>IF(Nabídka!E32&lt;&gt;"",Nabídka!E32,"")</f>
        <v>1</v>
      </c>
      <c r="F32" s="126">
        <f>IF(Nabídka!F32&lt;&gt;"",Nabídka!F32,"")</f>
        <v>2500</v>
      </c>
      <c r="G32" s="126">
        <f>IF(AND((Nabídka!C32&lt;&gt;""),(Nabídka!D32&lt;&gt;""),(Nabídka!E32&lt;&gt;""),(Nabídka!F32&lt;&gt;"")),(Nabídka!E32*Nabídka!F32),"")</f>
        <v>2500</v>
      </c>
      <c r="H32" s="48"/>
      <c r="I32" s="20"/>
      <c r="L32" s="77"/>
      <c r="M32" s="77"/>
      <c r="N32" s="77"/>
      <c r="O32" s="217"/>
      <c r="P32" s="217"/>
      <c r="Q32" s="217"/>
      <c r="R32" s="217"/>
      <c r="S32" s="217"/>
      <c r="T32" s="217"/>
      <c r="W32" s="71"/>
    </row>
    <row r="33" spans="1:23" ht="15" customHeight="1" x14ac:dyDescent="0.25">
      <c r="A33" s="20"/>
      <c r="B33" s="27"/>
      <c r="C33" s="72" t="str">
        <f>IF(Nabídka!C33&lt;&gt;"",Nabídka!C33,"")</f>
        <v>SEO Linková pyramida (odkazy na URL odkazující na Landing page), report</v>
      </c>
      <c r="D33" s="46" t="str">
        <f>IF(Nabídka!D33&lt;&gt;"",Nabídka!D33,"")</f>
        <v>1000 odkazů</v>
      </c>
      <c r="E33" s="46">
        <f>IF(Nabídka!E33&lt;&gt;"",Nabídka!E33,"")</f>
        <v>5</v>
      </c>
      <c r="F33" s="126">
        <f>IF(Nabídka!F33&lt;&gt;"",Nabídka!F33,"")</f>
        <v>500</v>
      </c>
      <c r="G33" s="126">
        <f>IF(AND((Nabídka!C33&lt;&gt;""),(Nabídka!D33&lt;&gt;""),(Nabídka!E33&lt;&gt;""),(Nabídka!F33&lt;&gt;"")),(Nabídka!E33*Nabídka!F33),"")</f>
        <v>2500</v>
      </c>
      <c r="H33" s="48"/>
      <c r="I33" s="20"/>
      <c r="L33" s="77"/>
      <c r="M33" s="77"/>
      <c r="N33" s="77"/>
      <c r="O33" s="217"/>
      <c r="P33" s="217"/>
      <c r="Q33" s="217"/>
      <c r="R33" s="217"/>
      <c r="S33" s="217"/>
      <c r="T33" s="217"/>
      <c r="W33" s="71"/>
    </row>
    <row r="34" spans="1:23" ht="15" customHeight="1" x14ac:dyDescent="0.25">
      <c r="A34" s="20"/>
      <c r="B34" s="27"/>
      <c r="C34" s="72" t="str">
        <f>IF(Nabídka!C34&lt;&gt;"",Nabídka!C34,"")</f>
        <v>SEO Meta Description, Keywords, Title, délka (Home page, O nás, Kontakt)</v>
      </c>
      <c r="D34" s="46" t="str">
        <f>IF(Nabídka!D34&lt;&gt;"",Nabídka!D34,"")</f>
        <v>hlavička</v>
      </c>
      <c r="E34" s="46">
        <f>IF(Nabídka!E34&lt;&gt;"",Nabídka!E34,"")</f>
        <v>3</v>
      </c>
      <c r="F34" s="126">
        <f>IF(Nabídka!F34&lt;&gt;"",Nabídka!F34,"")</f>
        <v>150</v>
      </c>
      <c r="G34" s="126">
        <f>IF(AND((Nabídka!C34&lt;&gt;""),(Nabídka!D34&lt;&gt;""),(Nabídka!E34&lt;&gt;""),(Nabídka!F34&lt;&gt;"")),(Nabídka!E34*Nabídka!F34),"")</f>
        <v>450</v>
      </c>
      <c r="H34" s="48"/>
      <c r="I34" s="20"/>
      <c r="L34" s="77"/>
      <c r="M34" s="77"/>
      <c r="N34" s="77"/>
      <c r="O34" s="77"/>
      <c r="P34" s="77"/>
      <c r="Q34" s="77"/>
      <c r="R34" s="77"/>
      <c r="S34" s="77"/>
      <c r="T34" s="77"/>
      <c r="W34" s="71"/>
    </row>
    <row r="35" spans="1:23" ht="15" customHeight="1" x14ac:dyDescent="0.25">
      <c r="A35" s="20"/>
      <c r="B35" s="27"/>
      <c r="C35" s="72" t="str">
        <f>IF(Nabídka!C35&lt;&gt;"",Nabídka!C35,"")</f>
        <v>SEO obrázků - velikost souboru, rozměry, ALT tagy</v>
      </c>
      <c r="D35" s="46" t="str">
        <f>IF(Nabídka!D35&lt;&gt;"",Nabídka!D35,"")</f>
        <v>obrázek</v>
      </c>
      <c r="E35" s="46">
        <f>IF(Nabídka!E35&lt;&gt;"",Nabídka!E35,"")</f>
        <v>20</v>
      </c>
      <c r="F35" s="126">
        <f>IF(Nabídka!F35&lt;&gt;"",Nabídka!F35,"")</f>
        <v>25</v>
      </c>
      <c r="G35" s="126">
        <f>IF(AND((Nabídka!C35&lt;&gt;""),(Nabídka!D35&lt;&gt;""),(Nabídka!E35&lt;&gt;""),(Nabídka!F35&lt;&gt;"")),(Nabídka!E35*Nabídka!F35),"")</f>
        <v>500</v>
      </c>
      <c r="H35" s="48"/>
      <c r="I35" s="20"/>
      <c r="L35" s="77"/>
      <c r="M35" s="77"/>
      <c r="N35" s="77"/>
      <c r="O35" s="77"/>
      <c r="P35" s="77"/>
      <c r="Q35" s="77"/>
      <c r="R35" s="77"/>
      <c r="S35" s="77"/>
      <c r="T35" s="77"/>
      <c r="W35" s="71"/>
    </row>
    <row r="36" spans="1:23" ht="15" customHeight="1" x14ac:dyDescent="0.25">
      <c r="A36" s="20"/>
      <c r="B36" s="27"/>
      <c r="C36" s="72" t="str">
        <f>IF(Nabídka!C36&lt;&gt;"",Nabídka!C36,"")</f>
        <v>SEO report po dokončení tvorby webu</v>
      </c>
      <c r="D36" s="46" t="str">
        <f>IF(Nabídka!D36&lt;&gt;"",Nabídka!D36,"")</f>
        <v>report</v>
      </c>
      <c r="E36" s="46">
        <f>IF(Nabídka!E36&lt;&gt;"",Nabídka!E36,"")</f>
        <v>2</v>
      </c>
      <c r="F36" s="126">
        <f>IF(Nabídka!F36&lt;&gt;"",Nabídka!F36,"")</f>
        <v>50</v>
      </c>
      <c r="G36" s="126">
        <f>IF(AND((Nabídka!C36&lt;&gt;""),(Nabídka!D36&lt;&gt;""),(Nabídka!E36&lt;&gt;""),(Nabídka!F36&lt;&gt;"")),(Nabídka!E36*Nabídka!F36),"")</f>
        <v>100</v>
      </c>
      <c r="H36" s="48"/>
      <c r="I36" s="20"/>
      <c r="L36" s="77"/>
      <c r="M36" s="77"/>
      <c r="N36" s="77"/>
      <c r="O36" s="77"/>
      <c r="P36" s="77"/>
      <c r="Q36" s="77"/>
      <c r="R36" s="77"/>
      <c r="S36" s="77"/>
      <c r="T36" s="77"/>
      <c r="W36" s="71"/>
    </row>
    <row r="37" spans="1:23" ht="15" customHeight="1" x14ac:dyDescent="0.25">
      <c r="A37" s="20"/>
      <c r="B37" s="27"/>
      <c r="C37" s="72" t="str">
        <f>IF(Nabídka!C37&lt;&gt;"",Nabídka!C37,"")</f>
        <v>SEO Sitemap.xml a Robots.txt</v>
      </c>
      <c r="D37" s="46" t="str">
        <f>IF(Nabídka!D37&lt;&gt;"",Nabídka!D37,"")</f>
        <v>soubor</v>
      </c>
      <c r="E37" s="46">
        <f>IF(Nabídka!E37&lt;&gt;"",Nabídka!E37,"")</f>
        <v>1</v>
      </c>
      <c r="F37" s="126">
        <f>IF(Nabídka!F37&lt;&gt;"",Nabídka!F37,"")</f>
        <v>50</v>
      </c>
      <c r="G37" s="126">
        <f>IF(AND((Nabídka!C37&lt;&gt;""),(Nabídka!D37&lt;&gt;""),(Nabídka!E37&lt;&gt;""),(Nabídka!F37&lt;&gt;"")),(Nabídka!E37*Nabídka!F37),"")</f>
        <v>50</v>
      </c>
      <c r="H37" s="48"/>
      <c r="I37" s="20"/>
      <c r="L37" s="77"/>
      <c r="M37" s="77"/>
      <c r="N37" s="77"/>
      <c r="O37" s="77"/>
      <c r="P37" s="77"/>
      <c r="Q37" s="77"/>
      <c r="R37" s="77"/>
      <c r="S37" s="77"/>
      <c r="T37" s="77"/>
      <c r="W37" s="71"/>
    </row>
    <row r="38" spans="1:23" ht="15" customHeight="1" x14ac:dyDescent="0.25">
      <c r="A38" s="20"/>
      <c r="B38" s="27"/>
      <c r="C38" s="72" t="str">
        <f>IF(Nabídka!C38&lt;&gt;"",Nabídka!C38,"")</f>
        <v>SEO URL-Redirecting a Indexace zpětných odkazů (i z Linkové pyramidy)</v>
      </c>
      <c r="D38" s="46" t="str">
        <f>IF(Nabídka!D38&lt;&gt;"",Nabídka!D38,"")</f>
        <v>měsíc</v>
      </c>
      <c r="E38" s="46">
        <f>IF(Nabídka!E38&lt;&gt;"",Nabídka!E38,"")</f>
        <v>3</v>
      </c>
      <c r="F38" s="126">
        <f>IF(Nabídka!F38&lt;&gt;"",Nabídka!F38,"")</f>
        <v>300</v>
      </c>
      <c r="G38" s="126">
        <f>IF(AND((Nabídka!C38&lt;&gt;""),(Nabídka!D38&lt;&gt;""),(Nabídka!E38&lt;&gt;""),(Nabídka!F38&lt;&gt;"")),(Nabídka!E38*Nabídka!F38),"")</f>
        <v>900</v>
      </c>
      <c r="H38" s="48"/>
      <c r="I38" s="20"/>
      <c r="L38" s="77"/>
      <c r="M38" s="77"/>
      <c r="N38" s="77"/>
      <c r="O38" s="77"/>
      <c r="P38" s="77"/>
      <c r="Q38" s="77"/>
      <c r="R38" s="77"/>
      <c r="S38" s="77"/>
      <c r="T38" s="77"/>
      <c r="W38" s="71"/>
    </row>
    <row r="39" spans="1:23" ht="15" customHeight="1" x14ac:dyDescent="0.25">
      <c r="A39" s="20"/>
      <c r="B39" s="27"/>
      <c r="C39" s="72" t="str">
        <f>IF(Nabídka!C39&lt;&gt;"",Nabídka!C39,"")</f>
        <v>SEO Zpětné odkazy, report</v>
      </c>
      <c r="D39" s="46" t="str">
        <f>IF(Nabídka!D39&lt;&gt;"",Nabídka!D39,"")</f>
        <v>1000 odkazů</v>
      </c>
      <c r="E39" s="46">
        <f>IF(Nabídka!E39&lt;&gt;"",Nabídka!E39,"")</f>
        <v>5</v>
      </c>
      <c r="F39" s="126">
        <f>IF(Nabídka!F39&lt;&gt;"",Nabídka!F39,"")</f>
        <v>50</v>
      </c>
      <c r="G39" s="126">
        <f>IF(AND((Nabídka!C39&lt;&gt;""),(Nabídka!D39&lt;&gt;""),(Nabídka!E39&lt;&gt;""),(Nabídka!F39&lt;&gt;"")),(Nabídka!E39*Nabídka!F39),"")</f>
        <v>250</v>
      </c>
      <c r="H39" s="48"/>
      <c r="I39" s="20"/>
      <c r="M39" s="7"/>
      <c r="W39" s="71"/>
    </row>
    <row r="40" spans="1:23" ht="15" customHeight="1" x14ac:dyDescent="0.25">
      <c r="A40" s="20"/>
      <c r="B40" s="27"/>
      <c r="C40" s="72" t="str">
        <f>IF(Nabídka!C40&lt;&gt;"",Nabídka!C40,"")</f>
        <v>Zašifrování kontaktních údajů (JavaScript) - telefony, e-mail</v>
      </c>
      <c r="D40" s="46" t="str">
        <f>IF(Nabídka!D40&lt;&gt;"",Nabídka!D40,"")</f>
        <v>odkaz</v>
      </c>
      <c r="E40" s="46">
        <f>IF(Nabídka!E40&lt;&gt;"",Nabídka!E40,"")</f>
        <v>6</v>
      </c>
      <c r="F40" s="126">
        <f>IF(Nabídka!F40&lt;&gt;"",Nabídka!F40,"")</f>
        <v>20.149999999999999</v>
      </c>
      <c r="G40" s="126">
        <f>IF(AND((Nabídka!C40&lt;&gt;""),(Nabídka!D40&lt;&gt;""),(Nabídka!E40&lt;&gt;""),(Nabídka!F40&lt;&gt;"")),(Nabídka!E40*Nabídka!F40),"")</f>
        <v>120.89999999999999</v>
      </c>
      <c r="H40" s="48"/>
      <c r="I40" s="20"/>
      <c r="L40" s="17"/>
      <c r="W40" s="71"/>
    </row>
    <row r="41" spans="1:23" ht="15" customHeight="1" x14ac:dyDescent="0.25">
      <c r="A41" s="20"/>
      <c r="B41" s="27"/>
      <c r="C41" s="72" t="str">
        <f>IF(Nabídka!C41&lt;&gt;"",Nabídka!C41,"")</f>
        <v>Zaškolení práce v CMS i editoru Nicepage, konzultace</v>
      </c>
      <c r="D41" s="46" t="str">
        <f>IF(Nabídka!D41&lt;&gt;"",Nabídka!D41,"")</f>
        <v>hodina</v>
      </c>
      <c r="E41" s="46">
        <f>IF(Nabídka!E41&lt;&gt;"",Nabídka!E41,"")</f>
        <v>1</v>
      </c>
      <c r="F41" s="126">
        <f>IF(Nabídka!F41&lt;&gt;"",Nabídka!F41,"")</f>
        <v>300</v>
      </c>
      <c r="G41" s="126">
        <f>IF(AND((Nabídka!C41&lt;&gt;""),(Nabídka!D41&lt;&gt;""),(Nabídka!E41&lt;&gt;""),(Nabídka!F41&lt;&gt;"")),(Nabídka!E41*Nabídka!F41),"")</f>
        <v>300</v>
      </c>
      <c r="H41" s="48"/>
      <c r="I41" s="20"/>
      <c r="W41" s="71"/>
    </row>
    <row r="42" spans="1:23" ht="15" customHeight="1" x14ac:dyDescent="0.25">
      <c r="A42" s="20"/>
      <c r="B42" s="27"/>
      <c r="C42" s="72" t="str">
        <f>IF(Nabídka!C42&lt;&gt;"",Nabídka!C42,"")</f>
        <v/>
      </c>
      <c r="D42" s="46" t="str">
        <f>IF(Nabídka!D42&lt;&gt;"",Nabídka!D42,"")</f>
        <v/>
      </c>
      <c r="E42" s="46" t="str">
        <f>IF(Nabídka!E42&lt;&gt;"",Nabídka!E42,"")</f>
        <v/>
      </c>
      <c r="F42" s="126" t="str">
        <f>IF(Nabídka!F42&lt;&gt;"",Nabídka!F42,"")</f>
        <v/>
      </c>
      <c r="G42" s="126" t="str">
        <f>IF(AND((Nabídka!C42&lt;&gt;""),(Nabídka!D42&lt;&gt;""),(Nabídka!E42&lt;&gt;""),(Nabídka!F42&lt;&gt;"")),(Nabídka!E42*Nabídka!F42),"")</f>
        <v/>
      </c>
      <c r="H42" s="49"/>
      <c r="I42" s="20"/>
      <c r="W42" s="71"/>
    </row>
    <row r="43" spans="1:23" ht="15" customHeight="1" thickBot="1" x14ac:dyDescent="0.3">
      <c r="A43" s="20"/>
      <c r="B43" s="27"/>
      <c r="C43" s="20"/>
      <c r="D43" s="20"/>
      <c r="E43" s="184" t="s">
        <v>18</v>
      </c>
      <c r="F43" s="185"/>
      <c r="G43" s="127">
        <f>SUM(Nabídka!G20:'Nabídka'!G42)</f>
        <v>19520.900000000001</v>
      </c>
      <c r="H43" s="48"/>
      <c r="I43" s="20"/>
      <c r="L43" s="10"/>
      <c r="W43" s="71"/>
    </row>
    <row r="44" spans="1:23" ht="15" customHeight="1" x14ac:dyDescent="0.25">
      <c r="A44" s="20"/>
      <c r="B44" s="27"/>
      <c r="C44" s="20"/>
      <c r="D44" s="20"/>
      <c r="E44" s="50"/>
      <c r="F44" s="50"/>
      <c r="G44" s="51"/>
      <c r="H44" s="48"/>
      <c r="I44" s="20"/>
      <c r="M44" s="7"/>
      <c r="W44" s="71"/>
    </row>
    <row r="45" spans="1:23" ht="15" customHeight="1" x14ac:dyDescent="0.25">
      <c r="A45" s="20"/>
      <c r="B45" s="27"/>
      <c r="C45" s="20"/>
      <c r="D45" s="20"/>
      <c r="E45" s="45"/>
      <c r="F45" s="52"/>
      <c r="G45" s="52"/>
      <c r="H45" s="48"/>
      <c r="I45" s="20"/>
      <c r="M45" s="7"/>
      <c r="W45" s="71"/>
    </row>
    <row r="46" spans="1:23" ht="15" customHeight="1" x14ac:dyDescent="0.25">
      <c r="A46" s="20"/>
      <c r="B46" s="27"/>
      <c r="C46" s="20" t="s">
        <v>19</v>
      </c>
      <c r="D46" s="46" t="s">
        <v>14</v>
      </c>
      <c r="E46" s="39" t="s">
        <v>15</v>
      </c>
      <c r="F46" s="47" t="s">
        <v>17</v>
      </c>
      <c r="G46" s="47" t="s">
        <v>16</v>
      </c>
      <c r="H46" s="48"/>
      <c r="I46" s="20"/>
      <c r="L46" s="11"/>
      <c r="M46" s="7"/>
      <c r="W46" s="71"/>
    </row>
    <row r="47" spans="1:23" ht="15" customHeight="1" x14ac:dyDescent="0.25">
      <c r="A47" s="20"/>
      <c r="B47" s="27"/>
      <c r="C47" s="20" t="str">
        <f>IF(Nabídka!C47&lt;&gt;"",Nabídka!C47,"")</f>
        <v>1 roční předplatné EBOLA BASIC (10GB, e-maily, MySQL, pro 5 domén)</v>
      </c>
      <c r="D47" s="20" t="str">
        <f>IF(Nabídka!D47&lt;&gt;"",Nabídka!D47,"")</f>
        <v>webhosting</v>
      </c>
      <c r="E47" s="46">
        <f>IF(Nabídka!E47&lt;&gt;"",Nabídka!E47,"")</f>
        <v>1</v>
      </c>
      <c r="F47" s="126">
        <f>IF(Nabídka!F47&lt;&gt;"",Nabídka!F47,"")</f>
        <v>540</v>
      </c>
      <c r="G47" s="126">
        <f>IF(AND((Nabídka!C47&lt;&gt;""),(Nabídka!D47&lt;&gt;""),(Nabídka!E47&lt;&gt;""),(Nabídka!F47&lt;&gt;"")),(Nabídka!E47*Nabídka!F47),"")</f>
        <v>540</v>
      </c>
      <c r="H47" s="48"/>
      <c r="I47" s="20"/>
      <c r="L47" s="10"/>
      <c r="M47" s="7"/>
      <c r="W47" s="71"/>
    </row>
    <row r="48" spans="1:23" ht="15" customHeight="1" x14ac:dyDescent="0.25">
      <c r="A48" s="20"/>
      <c r="B48" s="27"/>
      <c r="C48" s="20" t="str">
        <f>IF(Nabídka!C48&lt;&gt;"",Nabídka!C48,"")</f>
        <v>1 roční předplatné domény ubytovani.shop - registrátor tele3.cz</v>
      </c>
      <c r="D48" s="20" t="str">
        <f>IF(Nabídka!D48&lt;&gt;"",Nabídka!D48,"")</f>
        <v>doména</v>
      </c>
      <c r="E48" s="46">
        <f>IF(Nabídka!E48&lt;&gt;"",Nabídka!E48,"")</f>
        <v>1</v>
      </c>
      <c r="F48" s="126">
        <f>IF(Nabídka!F48&lt;&gt;"",Nabídka!F48,"")</f>
        <v>819</v>
      </c>
      <c r="G48" s="126">
        <f>IF(AND((Nabídka!C48&lt;&gt;""),(Nabídka!D48&lt;&gt;""),(Nabídka!E48&lt;&gt;""),(Nabídka!F48&lt;&gt;"")),(Nabídka!E48*Nabídka!F48),"")</f>
        <v>819</v>
      </c>
      <c r="H48" s="48"/>
      <c r="I48" s="20"/>
      <c r="W48" s="71"/>
    </row>
    <row r="49" spans="1:81" ht="15" customHeight="1" x14ac:dyDescent="0.25">
      <c r="A49" s="20"/>
      <c r="B49" s="27"/>
      <c r="C49" s="20" t="str">
        <f>IF(Nabídka!C49&lt;&gt;"",Nabídka!C49,"")</f>
        <v>1 roční předplatné domény hotely.shop - registrátor tele3.cz</v>
      </c>
      <c r="D49" s="20" t="str">
        <f>IF(Nabídka!D49&lt;&gt;"",Nabídka!D49,"")</f>
        <v>doména</v>
      </c>
      <c r="E49" s="46">
        <f>IF(Nabídka!E49&lt;&gt;"",Nabídka!E49,"")</f>
        <v>1</v>
      </c>
      <c r="F49" s="126">
        <f>IF(Nabídka!F49&lt;&gt;"",Nabídka!F49,"")</f>
        <v>819</v>
      </c>
      <c r="G49" s="126">
        <f>IF(AND((Nabídka!C49&lt;&gt;""),(Nabídka!D49&lt;&gt;""),(Nabídka!E49&lt;&gt;""),(Nabídka!F49&lt;&gt;"")),(Nabídka!E49*Nabídka!F49),"")</f>
        <v>819</v>
      </c>
      <c r="H49" s="48"/>
      <c r="I49" s="20"/>
      <c r="W49" s="71"/>
    </row>
    <row r="50" spans="1:81" ht="15" customHeight="1" x14ac:dyDescent="0.25">
      <c r="A50" s="20"/>
      <c r="B50" s="27"/>
      <c r="C50" s="20" t="str">
        <f>IF(Nabídka!C50&lt;&gt;"",Nabídka!C50,"")</f>
        <v>Předplatné indexace (linklicious.co - Pro 57$ - Google, AHREFS, MajesticSEO)</v>
      </c>
      <c r="D50" s="20" t="str">
        <f>IF(Nabídka!D50&lt;&gt;"",Nabídka!D50,"")</f>
        <v>měsíc</v>
      </c>
      <c r="E50" s="46">
        <f>IF(Nabídka!E50&lt;&gt;"",Nabídka!E50,"")</f>
        <v>4</v>
      </c>
      <c r="F50" s="126">
        <f>IF(Nabídka!F50&lt;&gt;"",Nabídka!F50,"")</f>
        <v>1260</v>
      </c>
      <c r="G50" s="126">
        <f>IF(AND((Nabídka!C50&lt;&gt;""),(Nabídka!D50&lt;&gt;""),(Nabídka!E50&lt;&gt;""),(Nabídka!F50&lt;&gt;"")),(Nabídka!E50*Nabídka!F50),"")</f>
        <v>5040</v>
      </c>
      <c r="H50" s="48"/>
      <c r="I50" s="20"/>
      <c r="L50" s="17"/>
      <c r="W50" s="71"/>
    </row>
    <row r="51" spans="1:81" ht="15" customHeight="1" x14ac:dyDescent="0.25">
      <c r="A51" s="20"/>
      <c r="B51" s="27"/>
      <c r="C51" s="20" t="str">
        <f>IF(Nabídka!C51&lt;&gt;"",Nabídka!C51,"")</f>
        <v>No-code WYSIWIG editor Nicepage Ultimate (brandovaná licence)</v>
      </c>
      <c r="D51" s="20" t="str">
        <f>IF(Nabídka!D51&lt;&gt;"",Nabídka!D51,"")</f>
        <v>doména</v>
      </c>
      <c r="E51" s="46">
        <f>IF(Nabídka!E51&lt;&gt;"",Nabídka!E51,"")</f>
        <v>2</v>
      </c>
      <c r="F51" s="126">
        <f>IF(Nabídka!F51&lt;&gt;"",Nabídka!F51,"")</f>
        <v>0</v>
      </c>
      <c r="G51" s="126">
        <f>IF(AND((Nabídka!C51&lt;&gt;""),(Nabídka!D51&lt;&gt;""),(Nabídka!E51&lt;&gt;""),(Nabídka!F51&lt;&gt;"")),(Nabídka!E51*Nabídka!F51),"")</f>
        <v>0</v>
      </c>
      <c r="H51" s="48"/>
      <c r="I51" s="20"/>
    </row>
    <row r="52" spans="1:81" ht="15" customHeight="1" x14ac:dyDescent="0.25">
      <c r="A52" s="20"/>
      <c r="B52" s="27"/>
      <c r="C52" s="20" t="str">
        <f>IF(Nabídka!C52&lt;&gt;"",Nabídka!C52,"")</f>
        <v/>
      </c>
      <c r="D52" s="20" t="str">
        <f>IF(Nabídka!D52&lt;&gt;"",Nabídka!D52,"")</f>
        <v/>
      </c>
      <c r="E52" s="46" t="str">
        <f>IF(Nabídka!E52&lt;&gt;"",Nabídka!E52,"")</f>
        <v/>
      </c>
      <c r="F52" s="126" t="str">
        <f>IF(Nabídka!F52&lt;&gt;"",Nabídka!F52,"")</f>
        <v/>
      </c>
      <c r="G52" s="126" t="str">
        <f>IF(AND((Nabídka!C52&lt;&gt;""),(Nabídka!D52&lt;&gt;""),(Nabídka!E52&lt;&gt;""),(Nabídka!F52&lt;&gt;"")),(Nabídka!E52*Nabídka!F52),"")</f>
        <v/>
      </c>
      <c r="H52" s="49"/>
      <c r="I52" s="20"/>
    </row>
    <row r="53" spans="1:81" ht="15" customHeight="1" thickBot="1" x14ac:dyDescent="0.3">
      <c r="A53" s="20"/>
      <c r="B53" s="27"/>
      <c r="C53" s="20"/>
      <c r="D53" s="20"/>
      <c r="E53" s="159" t="s">
        <v>34</v>
      </c>
      <c r="F53" s="160"/>
      <c r="G53" s="128">
        <f>SUM(Nabídka!G47:'Nabídka'!G52)</f>
        <v>7218</v>
      </c>
      <c r="H53" s="49"/>
      <c r="I53" s="20"/>
    </row>
    <row r="54" spans="1:81" ht="15" customHeight="1" x14ac:dyDescent="0.25">
      <c r="A54" s="20"/>
      <c r="B54" s="27"/>
      <c r="C54" s="20"/>
      <c r="D54" s="37"/>
      <c r="E54" s="45"/>
      <c r="F54" s="53"/>
      <c r="G54" s="54"/>
      <c r="H54" s="49"/>
      <c r="I54" s="20"/>
      <c r="L54" s="75"/>
      <c r="M54" s="10"/>
    </row>
    <row r="55" spans="1:81" ht="15" customHeight="1" x14ac:dyDescent="0.25">
      <c r="A55" s="20"/>
      <c r="B55" s="27"/>
      <c r="C55" s="20"/>
      <c r="D55" s="20"/>
      <c r="E55" s="20"/>
      <c r="F55" s="20"/>
      <c r="G55" s="20"/>
      <c r="H55" s="49"/>
      <c r="I55" s="20"/>
      <c r="L55" s="75"/>
      <c r="M55" s="10"/>
    </row>
    <row r="56" spans="1:81" ht="15" customHeight="1" thickBot="1" x14ac:dyDescent="0.3">
      <c r="A56" s="20"/>
      <c r="B56" s="27"/>
      <c r="C56" s="37"/>
      <c r="D56" s="20"/>
      <c r="E56" s="23"/>
      <c r="F56" s="69"/>
      <c r="G56" s="73"/>
      <c r="H56" s="49"/>
      <c r="I56" s="20"/>
      <c r="J56" s="13"/>
      <c r="K56" s="13"/>
      <c r="L56" s="13"/>
      <c r="M56" s="13"/>
      <c r="N56" s="13"/>
      <c r="O56" s="13"/>
      <c r="P56" s="13"/>
      <c r="Q56" s="13"/>
      <c r="R56" s="13"/>
      <c r="S56" s="13"/>
    </row>
    <row r="57" spans="1:81" ht="15" customHeight="1" thickTop="1" x14ac:dyDescent="0.25">
      <c r="A57" s="20"/>
      <c r="B57" s="27"/>
      <c r="C57" s="20"/>
      <c r="D57" s="20"/>
      <c r="E57" s="78"/>
      <c r="F57" s="141" t="s">
        <v>21</v>
      </c>
      <c r="G57" s="129">
        <f>Nabídka!G56</f>
        <v>26738.9</v>
      </c>
      <c r="H57" s="49"/>
      <c r="I57" s="20"/>
      <c r="J57" s="13"/>
      <c r="K57" s="13"/>
      <c r="L57" s="64"/>
      <c r="M57" s="64"/>
      <c r="N57" s="64"/>
      <c r="O57" s="64"/>
      <c r="P57" s="64"/>
      <c r="Q57" s="64"/>
      <c r="R57" s="64"/>
      <c r="S57" s="64"/>
    </row>
    <row r="58" spans="1:81" ht="15" customHeight="1" thickBot="1" x14ac:dyDescent="0.3">
      <c r="A58" s="20"/>
      <c r="B58" s="27"/>
      <c r="C58" s="20"/>
      <c r="D58" s="20"/>
      <c r="E58" s="79"/>
      <c r="F58" s="142" t="str">
        <f>Nabídka!F57</f>
        <v>Celkem s DPH 21% (5 617 Kč):</v>
      </c>
      <c r="G58" s="131">
        <f>Nabídka!G57</f>
        <v>32355</v>
      </c>
      <c r="H58" s="80"/>
      <c r="I58" s="81"/>
      <c r="J58" s="82"/>
      <c r="K58" s="82"/>
      <c r="L58" s="64"/>
      <c r="M58" s="64"/>
      <c r="N58" s="64"/>
      <c r="O58" s="64"/>
      <c r="P58" s="64"/>
      <c r="Q58" s="64"/>
      <c r="R58" s="64"/>
      <c r="S58" s="64"/>
      <c r="T58" s="83"/>
      <c r="U58" s="83"/>
      <c r="V58" s="83"/>
      <c r="W58" s="83"/>
      <c r="X58" s="83"/>
      <c r="Y58" s="83"/>
      <c r="Z58" s="83"/>
      <c r="AA58" s="83"/>
      <c r="AB58" s="83"/>
      <c r="AC58" s="83"/>
      <c r="AD58" s="83"/>
      <c r="AE58" s="83"/>
      <c r="AF58" s="83"/>
      <c r="AG58" s="83"/>
      <c r="AH58" s="83"/>
      <c r="AI58" s="83"/>
      <c r="AJ58" s="83"/>
      <c r="AK58" s="83"/>
      <c r="AL58" s="83"/>
      <c r="AM58" s="83"/>
      <c r="AN58" s="83"/>
      <c r="AO58" s="83"/>
      <c r="AP58" s="83"/>
      <c r="AQ58" s="83"/>
      <c r="AR58" s="83"/>
      <c r="AS58" s="83"/>
      <c r="AT58" s="83"/>
      <c r="AU58" s="83"/>
      <c r="AV58" s="83"/>
      <c r="AW58" s="83"/>
      <c r="AX58" s="83"/>
      <c r="AY58" s="83"/>
      <c r="AZ58" s="83"/>
      <c r="BA58" s="83"/>
      <c r="BB58" s="83"/>
      <c r="BC58" s="83"/>
      <c r="BD58" s="83"/>
      <c r="BE58" s="83"/>
      <c r="BF58" s="83"/>
      <c r="BG58" s="83"/>
      <c r="BH58" s="83"/>
      <c r="BI58" s="83"/>
      <c r="BJ58" s="83"/>
      <c r="BK58" s="83"/>
      <c r="BL58" s="83"/>
      <c r="BM58" s="83"/>
      <c r="BN58" s="83"/>
      <c r="BO58" s="83"/>
      <c r="BP58" s="83"/>
      <c r="BQ58" s="83"/>
      <c r="BR58" s="83"/>
      <c r="BS58" s="83"/>
      <c r="BT58" s="83"/>
      <c r="BU58" s="83"/>
      <c r="BV58" s="83"/>
      <c r="BW58" s="83"/>
      <c r="BX58" s="83"/>
      <c r="BY58" s="83"/>
      <c r="BZ58" s="83"/>
      <c r="CA58" s="83"/>
      <c r="CB58" s="83"/>
      <c r="CC58" s="83"/>
    </row>
    <row r="59" spans="1:81" ht="15" customHeight="1" thickTop="1" x14ac:dyDescent="0.25">
      <c r="A59" s="20"/>
      <c r="B59" s="27"/>
      <c r="C59" s="20"/>
      <c r="D59" s="20"/>
      <c r="E59" s="23"/>
      <c r="F59" s="69"/>
      <c r="G59" s="70" t="s">
        <v>93</v>
      </c>
      <c r="H59" s="80"/>
      <c r="I59" s="81"/>
      <c r="J59" s="82"/>
      <c r="K59" s="82"/>
      <c r="L59" s="64"/>
      <c r="M59" s="64"/>
      <c r="N59" s="64"/>
      <c r="O59" s="64"/>
      <c r="P59" s="64"/>
      <c r="Q59" s="64"/>
      <c r="R59" s="64"/>
      <c r="S59" s="64"/>
      <c r="T59" s="83"/>
      <c r="U59" s="83"/>
      <c r="V59" s="83"/>
      <c r="W59" s="83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3"/>
      <c r="AK59" s="83"/>
      <c r="AL59" s="83"/>
      <c r="AM59" s="83"/>
      <c r="AN59" s="83"/>
      <c r="AO59" s="83"/>
      <c r="AP59" s="83"/>
      <c r="AQ59" s="83"/>
      <c r="AR59" s="83"/>
      <c r="AS59" s="83"/>
      <c r="AT59" s="83"/>
      <c r="AU59" s="83"/>
      <c r="AV59" s="83"/>
      <c r="AW59" s="83"/>
      <c r="AX59" s="83"/>
      <c r="AY59" s="83"/>
      <c r="AZ59" s="83"/>
      <c r="BA59" s="83"/>
      <c r="BB59" s="83"/>
      <c r="BC59" s="83"/>
      <c r="BD59" s="83"/>
      <c r="BE59" s="83"/>
      <c r="BF59" s="83"/>
      <c r="BG59" s="83"/>
      <c r="BH59" s="83"/>
      <c r="BI59" s="83"/>
      <c r="BJ59" s="83"/>
      <c r="BK59" s="83"/>
      <c r="BL59" s="83"/>
      <c r="BM59" s="83"/>
      <c r="BN59" s="83"/>
      <c r="BO59" s="83"/>
      <c r="BP59" s="83"/>
      <c r="BQ59" s="83"/>
      <c r="BR59" s="83"/>
      <c r="BS59" s="83"/>
      <c r="BT59" s="83"/>
      <c r="BU59" s="83"/>
      <c r="BV59" s="83"/>
      <c r="BW59" s="83"/>
      <c r="BX59" s="83"/>
      <c r="BY59" s="83"/>
      <c r="BZ59" s="83"/>
      <c r="CA59" s="83"/>
      <c r="CB59" s="83"/>
      <c r="CC59" s="83"/>
    </row>
    <row r="60" spans="1:81" ht="15" customHeight="1" x14ac:dyDescent="0.25">
      <c r="A60" s="20"/>
      <c r="B60" s="27"/>
      <c r="C60" s="20"/>
      <c r="D60" s="20"/>
      <c r="E60" s="45"/>
      <c r="F60" s="52"/>
      <c r="G60" s="20"/>
      <c r="H60" s="80"/>
      <c r="I60" s="81"/>
      <c r="J60" s="82"/>
      <c r="K60" s="82"/>
      <c r="L60" s="64"/>
      <c r="M60" s="64"/>
      <c r="N60" s="64"/>
      <c r="O60" s="64"/>
      <c r="P60" s="64"/>
      <c r="Q60" s="64"/>
      <c r="R60" s="64"/>
      <c r="S60" s="64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3"/>
      <c r="AY60" s="83"/>
      <c r="AZ60" s="83"/>
      <c r="BA60" s="83"/>
      <c r="BB60" s="83"/>
      <c r="BC60" s="83"/>
      <c r="BD60" s="83"/>
      <c r="BE60" s="83"/>
      <c r="BF60" s="83"/>
      <c r="BG60" s="83"/>
      <c r="BH60" s="83"/>
      <c r="BI60" s="83"/>
      <c r="BJ60" s="83"/>
      <c r="BK60" s="83"/>
      <c r="BL60" s="83"/>
      <c r="BM60" s="83"/>
      <c r="BN60" s="83"/>
      <c r="BO60" s="83"/>
      <c r="BP60" s="83"/>
      <c r="BQ60" s="83"/>
      <c r="BR60" s="83"/>
      <c r="BS60" s="83"/>
      <c r="BT60" s="83"/>
      <c r="BU60" s="83"/>
      <c r="BV60" s="83"/>
      <c r="BW60" s="83"/>
      <c r="BX60" s="83"/>
      <c r="BY60" s="83"/>
      <c r="BZ60" s="83"/>
      <c r="CA60" s="83"/>
      <c r="CB60" s="83"/>
      <c r="CC60" s="83"/>
    </row>
    <row r="61" spans="1:81" ht="15" customHeight="1" x14ac:dyDescent="0.25">
      <c r="A61" s="20"/>
      <c r="B61" s="27"/>
      <c r="C61" s="81"/>
      <c r="D61" s="84"/>
      <c r="E61" s="81"/>
      <c r="F61" s="81"/>
      <c r="G61" s="81"/>
      <c r="H61" s="80"/>
      <c r="I61" s="81"/>
      <c r="J61" s="82"/>
      <c r="K61" s="82"/>
      <c r="L61" s="64"/>
      <c r="M61" s="64"/>
      <c r="N61" s="64"/>
      <c r="O61" s="64"/>
      <c r="P61" s="64"/>
      <c r="Q61" s="64"/>
      <c r="R61" s="64"/>
      <c r="S61" s="64"/>
      <c r="T61" s="83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3"/>
      <c r="AY61" s="83"/>
      <c r="AZ61" s="83"/>
      <c r="BA61" s="83"/>
      <c r="BB61" s="83"/>
      <c r="BC61" s="83"/>
      <c r="BD61" s="83"/>
      <c r="BE61" s="83"/>
      <c r="BF61" s="83"/>
      <c r="BG61" s="83"/>
      <c r="BH61" s="83"/>
      <c r="BI61" s="83"/>
      <c r="BJ61" s="83"/>
      <c r="BK61" s="83"/>
      <c r="BL61" s="83"/>
      <c r="BM61" s="83"/>
      <c r="BN61" s="83"/>
      <c r="BO61" s="83"/>
      <c r="BP61" s="83"/>
      <c r="BQ61" s="83"/>
      <c r="BR61" s="83"/>
      <c r="BS61" s="83"/>
      <c r="BT61" s="83"/>
      <c r="BU61" s="83"/>
      <c r="BV61" s="83"/>
      <c r="BW61" s="83"/>
      <c r="BX61" s="83"/>
      <c r="BY61" s="83"/>
      <c r="BZ61" s="83"/>
      <c r="CA61" s="83"/>
      <c r="CB61" s="83"/>
      <c r="CC61" s="83"/>
    </row>
    <row r="62" spans="1:81" ht="15" customHeight="1" x14ac:dyDescent="0.25">
      <c r="A62" s="20"/>
      <c r="B62" s="27"/>
      <c r="C62" s="81"/>
      <c r="D62" s="81"/>
      <c r="E62" s="81"/>
      <c r="F62" s="81"/>
      <c r="G62" s="81"/>
      <c r="H62" s="80"/>
      <c r="I62" s="81"/>
      <c r="J62" s="82"/>
      <c r="K62" s="82"/>
      <c r="L62" s="64"/>
      <c r="M62" s="64"/>
      <c r="N62" s="64"/>
      <c r="O62" s="64"/>
      <c r="P62" s="64"/>
      <c r="Q62" s="64"/>
      <c r="R62" s="64"/>
      <c r="S62" s="64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83"/>
      <c r="BI62" s="83"/>
      <c r="BJ62" s="83"/>
      <c r="BK62" s="83"/>
      <c r="BL62" s="83"/>
      <c r="BM62" s="83"/>
      <c r="BN62" s="83"/>
      <c r="BO62" s="83"/>
      <c r="BP62" s="83"/>
      <c r="BQ62" s="83"/>
      <c r="BR62" s="83"/>
      <c r="BS62" s="83"/>
      <c r="BT62" s="83"/>
      <c r="BU62" s="83"/>
      <c r="BV62" s="83"/>
      <c r="BW62" s="83"/>
      <c r="BX62" s="83"/>
      <c r="BY62" s="83"/>
      <c r="BZ62" s="83"/>
      <c r="CA62" s="83"/>
      <c r="CB62" s="83"/>
      <c r="CC62" s="83"/>
    </row>
    <row r="63" spans="1:81" ht="15" customHeight="1" x14ac:dyDescent="0.25">
      <c r="A63" s="20"/>
      <c r="B63" s="27"/>
      <c r="C63" s="104"/>
      <c r="D63" s="81"/>
      <c r="E63" s="81"/>
      <c r="F63" s="81"/>
      <c r="G63" s="81"/>
      <c r="H63" s="80"/>
      <c r="I63" s="81"/>
      <c r="J63" s="82"/>
      <c r="K63" s="82"/>
      <c r="L63" s="64"/>
      <c r="M63" s="64"/>
      <c r="N63" s="64"/>
      <c r="O63" s="64"/>
      <c r="P63" s="64"/>
      <c r="Q63" s="64"/>
      <c r="R63" s="64"/>
      <c r="S63" s="64"/>
      <c r="T63" s="83"/>
      <c r="U63" s="83"/>
      <c r="V63" s="83"/>
      <c r="W63" s="83"/>
      <c r="X63" s="83"/>
      <c r="Y63" s="83"/>
      <c r="Z63" s="83"/>
      <c r="AA63" s="83"/>
      <c r="AB63" s="83"/>
      <c r="AC63" s="83"/>
      <c r="AD63" s="83"/>
      <c r="AE63" s="83"/>
      <c r="AF63" s="83"/>
      <c r="AG63" s="83"/>
      <c r="AH63" s="83"/>
      <c r="AI63" s="83"/>
      <c r="AJ63" s="83"/>
      <c r="AK63" s="83"/>
      <c r="AL63" s="83"/>
      <c r="AM63" s="83"/>
      <c r="AN63" s="83"/>
      <c r="AO63" s="83"/>
      <c r="AP63" s="83"/>
      <c r="AQ63" s="83"/>
      <c r="AR63" s="83"/>
      <c r="AS63" s="83"/>
      <c r="AT63" s="83"/>
      <c r="AU63" s="83"/>
      <c r="AV63" s="83"/>
      <c r="AW63" s="83"/>
      <c r="AX63" s="83"/>
      <c r="AY63" s="83"/>
      <c r="AZ63" s="83"/>
      <c r="BA63" s="83"/>
      <c r="BB63" s="83"/>
      <c r="BC63" s="83"/>
      <c r="BD63" s="83"/>
      <c r="BE63" s="83"/>
      <c r="BF63" s="83"/>
      <c r="BG63" s="83"/>
      <c r="BH63" s="83"/>
      <c r="BI63" s="83"/>
      <c r="BJ63" s="83"/>
      <c r="BK63" s="83"/>
      <c r="BL63" s="83"/>
      <c r="BM63" s="83"/>
      <c r="BN63" s="83"/>
      <c r="BO63" s="83"/>
      <c r="BP63" s="83"/>
      <c r="BQ63" s="83"/>
      <c r="BR63" s="83"/>
      <c r="BS63" s="83"/>
      <c r="BT63" s="83"/>
      <c r="BU63" s="83"/>
      <c r="BV63" s="83"/>
      <c r="BW63" s="83"/>
      <c r="BX63" s="83"/>
      <c r="BY63" s="83"/>
      <c r="BZ63" s="83"/>
      <c r="CA63" s="83"/>
      <c r="CB63" s="83"/>
      <c r="CC63" s="83"/>
    </row>
    <row r="64" spans="1:81" ht="15" customHeight="1" x14ac:dyDescent="0.25">
      <c r="A64" s="20"/>
      <c r="B64" s="27"/>
      <c r="C64" s="104"/>
      <c r="D64" s="81"/>
      <c r="E64" s="81"/>
      <c r="F64" s="81"/>
      <c r="G64" s="81"/>
      <c r="H64" s="80"/>
      <c r="I64" s="81"/>
      <c r="J64" s="82"/>
      <c r="K64" s="82"/>
      <c r="L64" s="64"/>
      <c r="M64" s="64"/>
      <c r="N64" s="64"/>
      <c r="O64" s="64"/>
      <c r="P64" s="64"/>
      <c r="Q64" s="64"/>
      <c r="R64" s="64"/>
      <c r="S64" s="64"/>
      <c r="T64" s="83"/>
      <c r="U64" s="83"/>
      <c r="V64" s="83"/>
      <c r="W64" s="83"/>
      <c r="X64" s="83"/>
      <c r="Y64" s="83"/>
      <c r="Z64" s="83"/>
      <c r="AA64" s="83"/>
      <c r="AB64" s="83"/>
      <c r="AC64" s="83"/>
      <c r="AD64" s="83"/>
      <c r="AE64" s="83"/>
      <c r="AF64" s="83"/>
      <c r="AG64" s="83"/>
      <c r="AH64" s="83"/>
      <c r="AI64" s="83"/>
      <c r="AJ64" s="83"/>
      <c r="AK64" s="83"/>
      <c r="AL64" s="83"/>
      <c r="AM64" s="83"/>
      <c r="AN64" s="83"/>
      <c r="AO64" s="83"/>
      <c r="AP64" s="83"/>
      <c r="AQ64" s="83"/>
      <c r="AR64" s="83"/>
      <c r="AS64" s="83"/>
      <c r="AT64" s="83"/>
      <c r="AU64" s="83"/>
      <c r="AV64" s="83"/>
      <c r="AW64" s="83"/>
      <c r="AX64" s="83"/>
      <c r="AY64" s="83"/>
      <c r="AZ64" s="83"/>
      <c r="BA64" s="83"/>
      <c r="BB64" s="83"/>
      <c r="BC64" s="83"/>
      <c r="BD64" s="83"/>
      <c r="BE64" s="83"/>
      <c r="BF64" s="83"/>
      <c r="BG64" s="83"/>
      <c r="BH64" s="83"/>
      <c r="BI64" s="83"/>
      <c r="BJ64" s="83"/>
      <c r="BK64" s="83"/>
      <c r="BL64" s="83"/>
      <c r="BM64" s="83"/>
      <c r="BN64" s="83"/>
      <c r="BO64" s="83"/>
      <c r="BP64" s="83"/>
      <c r="BQ64" s="83"/>
      <c r="BR64" s="83"/>
      <c r="BS64" s="83"/>
      <c r="BT64" s="83"/>
      <c r="BU64" s="83"/>
      <c r="BV64" s="83"/>
      <c r="BW64" s="83"/>
      <c r="BX64" s="83"/>
      <c r="BY64" s="83"/>
      <c r="BZ64" s="83"/>
      <c r="CA64" s="83"/>
      <c r="CB64" s="83"/>
      <c r="CC64" s="83"/>
    </row>
    <row r="65" spans="1:81" ht="15" customHeight="1" x14ac:dyDescent="0.25">
      <c r="A65" s="20"/>
      <c r="B65" s="27"/>
      <c r="C65" s="81"/>
      <c r="D65" s="81"/>
      <c r="E65" s="81"/>
      <c r="F65" s="81"/>
      <c r="G65" s="81"/>
      <c r="H65" s="80"/>
      <c r="I65" s="81"/>
      <c r="J65" s="82"/>
      <c r="K65" s="82"/>
      <c r="L65" s="64"/>
      <c r="M65" s="64"/>
      <c r="N65" s="64"/>
      <c r="O65" s="64"/>
      <c r="P65" s="64"/>
      <c r="Q65" s="64"/>
      <c r="R65" s="64"/>
      <c r="S65" s="64"/>
      <c r="T65" s="83"/>
      <c r="U65" s="83"/>
      <c r="V65" s="83"/>
      <c r="W65" s="83"/>
      <c r="X65" s="83"/>
      <c r="Y65" s="83"/>
      <c r="Z65" s="83"/>
      <c r="AA65" s="83"/>
      <c r="AB65" s="83"/>
      <c r="AC65" s="83"/>
      <c r="AD65" s="83"/>
      <c r="AE65" s="83"/>
      <c r="AF65" s="83"/>
      <c r="AG65" s="83"/>
      <c r="AH65" s="83"/>
      <c r="AI65" s="83"/>
      <c r="AJ65" s="83"/>
      <c r="AK65" s="83"/>
      <c r="AL65" s="83"/>
      <c r="AM65" s="83"/>
      <c r="AN65" s="83"/>
      <c r="AO65" s="83"/>
      <c r="AP65" s="83"/>
      <c r="AQ65" s="83"/>
      <c r="AR65" s="83"/>
      <c r="AS65" s="83"/>
      <c r="AT65" s="83"/>
      <c r="AU65" s="83"/>
      <c r="AV65" s="83"/>
      <c r="AW65" s="83"/>
      <c r="AX65" s="83"/>
      <c r="AY65" s="83"/>
      <c r="AZ65" s="83"/>
      <c r="BA65" s="83"/>
      <c r="BB65" s="83"/>
      <c r="BC65" s="83"/>
      <c r="BD65" s="83"/>
      <c r="BE65" s="83"/>
      <c r="BF65" s="83"/>
      <c r="BG65" s="83"/>
      <c r="BH65" s="83"/>
      <c r="BI65" s="83"/>
      <c r="BJ65" s="83"/>
      <c r="BK65" s="83"/>
      <c r="BL65" s="83"/>
      <c r="BM65" s="83"/>
      <c r="BN65" s="83"/>
      <c r="BO65" s="83"/>
      <c r="BP65" s="83"/>
      <c r="BQ65" s="83"/>
      <c r="BR65" s="83"/>
      <c r="BS65" s="83"/>
      <c r="BT65" s="83"/>
      <c r="BU65" s="83"/>
      <c r="BV65" s="83"/>
      <c r="BW65" s="83"/>
      <c r="BX65" s="83"/>
      <c r="BY65" s="83"/>
      <c r="BZ65" s="83"/>
      <c r="CA65" s="83"/>
      <c r="CB65" s="83"/>
      <c r="CC65" s="83"/>
    </row>
    <row r="66" spans="1:81" ht="15" customHeight="1" x14ac:dyDescent="0.25">
      <c r="A66" s="20"/>
      <c r="B66" s="27"/>
      <c r="C66" s="81"/>
      <c r="D66" s="81"/>
      <c r="E66" s="81"/>
      <c r="F66" s="81"/>
      <c r="G66" s="81"/>
      <c r="H66" s="49"/>
      <c r="I66" s="20"/>
      <c r="J66" s="13"/>
      <c r="K66" s="13"/>
      <c r="L66" s="64"/>
      <c r="M66" s="64"/>
      <c r="N66" s="64"/>
      <c r="O66" s="64"/>
      <c r="P66" s="64"/>
      <c r="Q66" s="64"/>
      <c r="R66" s="64"/>
      <c r="S66" s="64"/>
    </row>
    <row r="67" spans="1:81" ht="15" customHeight="1" x14ac:dyDescent="0.25">
      <c r="A67" s="20"/>
      <c r="B67" s="27"/>
      <c r="C67" s="81"/>
      <c r="D67" s="81"/>
      <c r="E67" s="81"/>
      <c r="F67" s="81"/>
      <c r="G67" s="81"/>
      <c r="H67" s="49"/>
      <c r="I67" s="20"/>
      <c r="J67" s="13"/>
      <c r="K67" s="13"/>
      <c r="L67" s="64"/>
      <c r="M67" s="64"/>
      <c r="N67" s="64"/>
      <c r="O67" s="64"/>
      <c r="P67" s="64"/>
      <c r="Q67" s="64"/>
      <c r="R67" s="64"/>
      <c r="S67" s="64"/>
    </row>
    <row r="68" spans="1:81" ht="15" customHeight="1" x14ac:dyDescent="0.25">
      <c r="A68" s="20"/>
      <c r="B68" s="27"/>
      <c r="C68" s="81"/>
      <c r="D68" s="81"/>
      <c r="E68" s="81"/>
      <c r="F68" s="81"/>
      <c r="G68" s="81"/>
      <c r="H68" s="49"/>
      <c r="I68" s="20"/>
      <c r="J68" s="13"/>
      <c r="K68" s="13"/>
      <c r="L68" s="64"/>
      <c r="M68" s="64"/>
      <c r="N68" s="64"/>
      <c r="O68" s="64"/>
      <c r="P68" s="64"/>
      <c r="Q68" s="64"/>
      <c r="R68" s="64"/>
      <c r="S68" s="64"/>
    </row>
    <row r="69" spans="1:81" ht="15" customHeight="1" x14ac:dyDescent="0.25">
      <c r="A69" s="20"/>
      <c r="B69" s="27"/>
      <c r="C69" s="55"/>
      <c r="D69" s="56"/>
      <c r="E69" s="28"/>
      <c r="F69" s="53"/>
      <c r="G69" s="57"/>
      <c r="H69" s="49"/>
      <c r="I69" s="20"/>
      <c r="J69" s="13"/>
      <c r="K69" s="13"/>
      <c r="L69" s="65"/>
      <c r="M69" s="65"/>
      <c r="N69" s="65"/>
      <c r="O69" s="65"/>
      <c r="P69" s="65"/>
      <c r="Q69" s="64"/>
      <c r="R69" s="64"/>
      <c r="S69" s="64"/>
    </row>
    <row r="70" spans="1:81" ht="15" customHeight="1" x14ac:dyDescent="0.25">
      <c r="A70" s="20"/>
      <c r="B70" s="27"/>
      <c r="C70" s="55" t="s">
        <v>35</v>
      </c>
      <c r="D70" s="56"/>
      <c r="E70" s="28"/>
      <c r="F70" s="53"/>
      <c r="G70" s="57"/>
      <c r="H70" s="49"/>
      <c r="I70" s="20"/>
      <c r="J70" s="13"/>
      <c r="K70" s="13"/>
      <c r="L70" s="65"/>
      <c r="M70" s="65"/>
      <c r="N70" s="65"/>
      <c r="O70" s="65"/>
      <c r="P70" s="65"/>
      <c r="Q70" s="64"/>
      <c r="R70" s="64"/>
      <c r="S70" s="64"/>
    </row>
    <row r="71" spans="1:81" ht="15" customHeight="1" x14ac:dyDescent="0.25">
      <c r="A71" s="20"/>
      <c r="B71" s="27"/>
      <c r="C71" s="85"/>
      <c r="D71" s="56"/>
      <c r="E71" s="28"/>
      <c r="F71" s="53"/>
      <c r="G71" s="57"/>
      <c r="H71" s="58"/>
      <c r="I71" s="20"/>
      <c r="J71" s="13"/>
      <c r="K71" s="13"/>
      <c r="L71" s="65"/>
      <c r="M71" s="65"/>
      <c r="N71" s="65"/>
      <c r="O71" s="65"/>
      <c r="P71" s="65"/>
      <c r="Q71" s="64"/>
      <c r="R71" s="64"/>
      <c r="S71" s="64"/>
    </row>
    <row r="72" spans="1:81" ht="15" customHeight="1" x14ac:dyDescent="0.25">
      <c r="A72" s="20"/>
      <c r="B72" s="27"/>
      <c r="C72" s="20"/>
      <c r="D72" s="20"/>
      <c r="E72" s="45"/>
      <c r="F72" s="53"/>
      <c r="G72" s="57"/>
      <c r="H72" s="58"/>
      <c r="I72" s="20"/>
      <c r="J72" s="13"/>
      <c r="K72" s="13"/>
      <c r="L72" s="65"/>
      <c r="M72" s="65"/>
      <c r="N72" s="65"/>
      <c r="O72" s="65"/>
      <c r="P72" s="65"/>
      <c r="Q72" s="64"/>
      <c r="R72" s="64"/>
      <c r="S72" s="64"/>
    </row>
    <row r="73" spans="1:81" ht="15" customHeight="1" x14ac:dyDescent="0.25">
      <c r="A73" s="20"/>
      <c r="B73" s="27"/>
      <c r="C73" s="20"/>
      <c r="D73" s="20"/>
      <c r="E73" s="59"/>
      <c r="F73" s="37"/>
      <c r="G73" s="57"/>
      <c r="H73" s="58"/>
      <c r="I73" s="20"/>
      <c r="J73" s="13"/>
      <c r="K73" s="13"/>
      <c r="L73" s="65"/>
      <c r="M73" s="65"/>
      <c r="N73" s="65"/>
      <c r="O73" s="65"/>
      <c r="P73" s="65"/>
      <c r="Q73" s="64"/>
      <c r="R73" s="64"/>
      <c r="S73" s="64"/>
    </row>
    <row r="74" spans="1:81" ht="15" customHeight="1" x14ac:dyDescent="0.25">
      <c r="A74" s="20"/>
      <c r="B74" s="27"/>
      <c r="C74" s="46"/>
      <c r="D74" s="20"/>
      <c r="E74" s="28"/>
      <c r="F74" s="20"/>
      <c r="G74" s="20"/>
      <c r="H74" s="49"/>
      <c r="I74" s="20"/>
      <c r="J74" s="13"/>
      <c r="K74" s="13"/>
      <c r="L74" s="65"/>
      <c r="M74" s="65"/>
      <c r="N74" s="65"/>
      <c r="O74" s="65"/>
      <c r="P74" s="65"/>
      <c r="Q74" s="64"/>
      <c r="R74" s="64"/>
      <c r="S74" s="64"/>
    </row>
    <row r="75" spans="1:81" ht="15" customHeight="1" x14ac:dyDescent="0.25">
      <c r="A75" s="20"/>
      <c r="B75" s="27"/>
      <c r="C75" s="20"/>
      <c r="D75" s="20"/>
      <c r="E75" s="53"/>
      <c r="F75" s="53"/>
      <c r="G75" s="53"/>
      <c r="H75" s="49"/>
      <c r="I75" s="20"/>
      <c r="J75" s="13"/>
      <c r="K75" s="13"/>
      <c r="L75" s="64"/>
      <c r="M75" s="64"/>
      <c r="N75" s="64"/>
      <c r="O75" s="64"/>
      <c r="P75" s="64"/>
      <c r="Q75" s="64"/>
      <c r="R75" s="64"/>
      <c r="S75" s="64"/>
    </row>
    <row r="76" spans="1:81" ht="15" customHeight="1" x14ac:dyDescent="0.25">
      <c r="A76" s="20"/>
      <c r="B76" s="27"/>
      <c r="C76" s="46" t="s">
        <v>0</v>
      </c>
      <c r="D76" s="20"/>
      <c r="E76" s="28"/>
      <c r="F76" s="53"/>
      <c r="G76" s="53"/>
      <c r="H76" s="25"/>
      <c r="I76" s="20"/>
      <c r="J76" s="13"/>
      <c r="K76" s="13"/>
      <c r="L76" s="64"/>
      <c r="M76" s="66"/>
      <c r="N76" s="64"/>
      <c r="O76" s="64"/>
      <c r="P76" s="64"/>
      <c r="Q76" s="64"/>
      <c r="R76" s="64"/>
      <c r="S76" s="64"/>
    </row>
    <row r="77" spans="1:81" ht="15" customHeight="1" x14ac:dyDescent="0.25">
      <c r="A77" s="20"/>
      <c r="B77" s="27"/>
      <c r="C77" s="46" t="str">
        <f>Nabídka!Q7</f>
        <v>Michal Kopl, Kopl Pro</v>
      </c>
      <c r="D77" s="20"/>
      <c r="E77" s="28"/>
      <c r="F77" s="53"/>
      <c r="G77" s="53"/>
      <c r="H77" s="25"/>
      <c r="I77" s="20"/>
      <c r="J77" s="13"/>
      <c r="K77" s="13"/>
      <c r="L77" s="67"/>
      <c r="M77" s="64"/>
      <c r="N77" s="64"/>
      <c r="O77" s="64"/>
      <c r="P77" s="64"/>
      <c r="Q77" s="64"/>
      <c r="R77" s="64"/>
      <c r="S77" s="64"/>
    </row>
    <row r="78" spans="1:81" ht="15" customHeight="1" x14ac:dyDescent="0.25">
      <c r="A78" s="20"/>
      <c r="B78" s="27"/>
      <c r="C78" s="60" t="str">
        <f>Nabídka!Q10</f>
        <v>+420 777 062 425</v>
      </c>
      <c r="D78" s="20"/>
      <c r="E78" s="28"/>
      <c r="F78" s="31"/>
      <c r="G78" s="31"/>
      <c r="H78" s="25"/>
      <c r="I78" s="20"/>
      <c r="J78" s="13"/>
      <c r="K78" s="13"/>
      <c r="L78" s="64"/>
      <c r="M78" s="64"/>
      <c r="N78" s="64"/>
      <c r="O78" s="64"/>
      <c r="P78" s="64"/>
      <c r="Q78" s="64"/>
      <c r="R78" s="64"/>
      <c r="S78" s="64"/>
    </row>
    <row r="79" spans="1:81" ht="15" customHeight="1" x14ac:dyDescent="0.25">
      <c r="A79" s="20"/>
      <c r="B79" s="27"/>
      <c r="C79" s="8" t="str">
        <f>Nabídka!Q11</f>
        <v>michal@kopl.pro</v>
      </c>
      <c r="D79" s="20"/>
      <c r="E79" s="28"/>
      <c r="F79" s="31"/>
      <c r="G79" s="20"/>
      <c r="H79" s="25"/>
      <c r="I79" s="20"/>
      <c r="J79" s="13"/>
      <c r="K79" s="13"/>
      <c r="L79" s="64"/>
      <c r="M79" s="64"/>
      <c r="N79" s="64"/>
      <c r="O79" s="64"/>
      <c r="P79" s="64"/>
      <c r="Q79" s="64"/>
      <c r="R79" s="64"/>
      <c r="S79" s="64"/>
    </row>
    <row r="80" spans="1:81" ht="15" customHeight="1" thickBot="1" x14ac:dyDescent="0.3">
      <c r="A80" s="20"/>
      <c r="B80" s="30"/>
      <c r="C80" s="61"/>
      <c r="D80" s="61"/>
      <c r="E80" s="62"/>
      <c r="F80" s="63"/>
      <c r="G80" s="61"/>
      <c r="H80" s="26"/>
      <c r="I80" s="20"/>
      <c r="J80" s="13"/>
      <c r="K80" s="13"/>
      <c r="L80" s="64"/>
      <c r="M80" s="64"/>
      <c r="N80" s="64"/>
      <c r="O80" s="64"/>
      <c r="P80" s="64"/>
      <c r="Q80" s="64"/>
      <c r="R80" s="64"/>
      <c r="S80" s="64"/>
    </row>
    <row r="81" spans="1:19" ht="15" customHeight="1" thickTop="1" thickBot="1" x14ac:dyDescent="0.3">
      <c r="A81" s="20"/>
      <c r="B81" s="20"/>
      <c r="C81" s="20"/>
      <c r="D81" s="20"/>
      <c r="E81" s="28"/>
      <c r="F81" s="31"/>
      <c r="G81" s="31"/>
      <c r="H81" s="20"/>
      <c r="I81" s="20"/>
      <c r="J81" s="15"/>
      <c r="K81" s="13"/>
      <c r="L81" s="64"/>
      <c r="M81" s="64"/>
      <c r="N81" s="64"/>
      <c r="O81" s="64"/>
      <c r="P81" s="64"/>
      <c r="Q81" s="64"/>
      <c r="R81" s="64"/>
      <c r="S81" s="64"/>
    </row>
    <row r="82" spans="1:19" ht="15" thickTop="1" x14ac:dyDescent="0.25">
      <c r="I82" s="2"/>
      <c r="J82" s="13"/>
      <c r="K82" s="13"/>
      <c r="L82" s="64"/>
      <c r="M82" s="64"/>
      <c r="N82" s="64"/>
      <c r="O82" s="64"/>
      <c r="P82" s="64"/>
      <c r="Q82" s="64"/>
      <c r="R82" s="64"/>
      <c r="S82" s="64"/>
    </row>
    <row r="83" spans="1:19" x14ac:dyDescent="0.25">
      <c r="F83" s="3"/>
      <c r="G83" s="3"/>
      <c r="J83" s="13"/>
      <c r="K83" s="13"/>
      <c r="L83" s="64"/>
      <c r="M83" s="64"/>
      <c r="N83" s="64"/>
      <c r="O83" s="64"/>
      <c r="P83" s="64"/>
      <c r="Q83" s="64"/>
      <c r="R83" s="64"/>
      <c r="S83" s="64"/>
    </row>
    <row r="84" spans="1:19" x14ac:dyDescent="0.25">
      <c r="J84" s="13"/>
      <c r="K84" s="13"/>
      <c r="L84" s="13" t="s">
        <v>30</v>
      </c>
      <c r="M84" s="13"/>
      <c r="N84" s="13"/>
      <c r="O84" s="13"/>
      <c r="P84" s="13"/>
      <c r="Q84" s="13"/>
      <c r="R84" s="13"/>
      <c r="S84" s="13"/>
    </row>
    <row r="85" spans="1:19" x14ac:dyDescent="0.25">
      <c r="J85" s="13"/>
      <c r="K85" s="13"/>
      <c r="L85" s="13" t="s">
        <v>31</v>
      </c>
      <c r="M85" s="13"/>
      <c r="N85" s="13"/>
      <c r="O85" s="13"/>
      <c r="P85" s="13"/>
      <c r="Q85" s="13"/>
      <c r="R85" s="13"/>
      <c r="S85" s="13"/>
    </row>
    <row r="86" spans="1:19" x14ac:dyDescent="0.25">
      <c r="J86" s="13"/>
      <c r="K86" s="13"/>
      <c r="L86" s="13"/>
      <c r="M86" s="13"/>
      <c r="N86" s="13"/>
      <c r="O86" s="13"/>
      <c r="P86" s="13"/>
      <c r="Q86" s="13"/>
      <c r="R86" s="13"/>
      <c r="S86" s="13"/>
    </row>
    <row r="87" spans="1:19" x14ac:dyDescent="0.25">
      <c r="J87" s="13"/>
      <c r="K87" s="13"/>
      <c r="L87" s="13"/>
      <c r="M87" s="13"/>
      <c r="N87" s="13"/>
      <c r="O87" s="13"/>
      <c r="P87" s="13"/>
      <c r="Q87" s="13"/>
      <c r="R87" s="13"/>
      <c r="S87" s="13"/>
    </row>
    <row r="88" spans="1:19" ht="15" x14ac:dyDescent="0.25">
      <c r="C88" s="68"/>
      <c r="J88" s="13"/>
      <c r="K88" s="13"/>
      <c r="L88" s="13"/>
      <c r="M88" s="13"/>
      <c r="N88" s="13"/>
      <c r="O88" s="13"/>
      <c r="P88" s="13"/>
      <c r="Q88" s="13"/>
      <c r="R88" s="13"/>
      <c r="S88" s="13"/>
    </row>
    <row r="89" spans="1:19" x14ac:dyDescent="0.25">
      <c r="J89" s="13"/>
      <c r="K89" s="13"/>
      <c r="L89" s="13"/>
      <c r="M89" s="13"/>
      <c r="N89" s="13"/>
      <c r="O89" s="13"/>
      <c r="P89" s="13"/>
      <c r="Q89" s="13"/>
      <c r="R89" s="13"/>
      <c r="S89" s="13"/>
    </row>
    <row r="90" spans="1:19" x14ac:dyDescent="0.25">
      <c r="J90" s="13"/>
      <c r="K90" s="13"/>
      <c r="L90" s="13"/>
      <c r="M90" s="13"/>
      <c r="N90" s="13"/>
      <c r="O90" s="13"/>
      <c r="P90" s="13"/>
      <c r="Q90" s="13"/>
      <c r="R90" s="13"/>
      <c r="S90" s="13"/>
    </row>
    <row r="91" spans="1:19" x14ac:dyDescent="0.25">
      <c r="J91" s="13"/>
      <c r="K91" s="13"/>
      <c r="L91" s="13"/>
      <c r="M91" s="13"/>
      <c r="N91" s="13"/>
      <c r="O91" s="13"/>
      <c r="P91" s="13"/>
      <c r="Q91" s="13"/>
      <c r="R91" s="13"/>
      <c r="S91" s="13"/>
    </row>
    <row r="92" spans="1:19" x14ac:dyDescent="0.25">
      <c r="J92" s="13"/>
      <c r="K92" s="13"/>
      <c r="L92" s="13"/>
      <c r="M92" s="13"/>
      <c r="N92" s="13"/>
      <c r="O92" s="13"/>
      <c r="P92" s="13"/>
      <c r="Q92" s="13"/>
      <c r="R92" s="13"/>
      <c r="S92" s="13"/>
    </row>
    <row r="93" spans="1:19" x14ac:dyDescent="0.25">
      <c r="J93" s="13"/>
      <c r="K93" s="13"/>
      <c r="L93" s="13"/>
      <c r="M93" s="13"/>
      <c r="N93" s="13"/>
      <c r="O93" s="13"/>
      <c r="P93" s="13"/>
      <c r="Q93" s="13"/>
      <c r="R93" s="13"/>
      <c r="S93" s="13"/>
    </row>
    <row r="94" spans="1:19" x14ac:dyDescent="0.25">
      <c r="J94" s="13"/>
      <c r="K94" s="13"/>
      <c r="L94" s="13"/>
      <c r="M94" s="13"/>
      <c r="N94" s="13"/>
      <c r="O94" s="13"/>
      <c r="P94" s="13"/>
      <c r="Q94" s="13"/>
      <c r="R94" s="13"/>
      <c r="S94" s="13"/>
    </row>
    <row r="95" spans="1:19" ht="15" x14ac:dyDescent="0.25">
      <c r="D95" s="4"/>
      <c r="J95" s="13"/>
      <c r="K95" s="13"/>
      <c r="L95" s="13"/>
      <c r="M95" s="13"/>
      <c r="N95" s="13"/>
      <c r="O95" s="13"/>
      <c r="P95" s="13"/>
      <c r="Q95" s="13"/>
      <c r="R95" s="13"/>
      <c r="S95" s="13"/>
    </row>
    <row r="96" spans="1:19" x14ac:dyDescent="0.25">
      <c r="J96" s="13"/>
      <c r="K96" s="13"/>
      <c r="L96" s="13"/>
      <c r="M96" s="13"/>
      <c r="N96" s="13"/>
      <c r="O96" s="13"/>
      <c r="P96" s="13"/>
      <c r="Q96" s="13"/>
      <c r="R96" s="13"/>
      <c r="S96" s="13"/>
    </row>
    <row r="97" spans="10:19" x14ac:dyDescent="0.25">
      <c r="J97" s="13"/>
      <c r="K97" s="13"/>
      <c r="L97" s="13"/>
      <c r="M97" s="13"/>
      <c r="N97" s="13"/>
      <c r="O97" s="13"/>
      <c r="P97" s="13"/>
      <c r="Q97" s="13"/>
      <c r="R97" s="13"/>
      <c r="S97" s="13"/>
    </row>
    <row r="98" spans="10:19" x14ac:dyDescent="0.25">
      <c r="J98" s="13"/>
      <c r="K98" s="13"/>
      <c r="L98" s="13"/>
      <c r="M98" s="13"/>
      <c r="N98" s="13"/>
      <c r="O98" s="13"/>
      <c r="P98" s="13"/>
      <c r="Q98" s="13"/>
      <c r="R98" s="13"/>
      <c r="S98" s="13"/>
    </row>
    <row r="99" spans="10:19" x14ac:dyDescent="0.25">
      <c r="J99" s="13"/>
      <c r="K99" s="13"/>
      <c r="L99" s="13"/>
      <c r="M99" s="13"/>
      <c r="N99" s="13"/>
      <c r="O99" s="13"/>
      <c r="P99" s="13"/>
      <c r="Q99" s="13"/>
      <c r="R99" s="13"/>
      <c r="S99" s="13"/>
    </row>
    <row r="100" spans="10:19" x14ac:dyDescent="0.25">
      <c r="J100" s="13"/>
      <c r="K100" s="13"/>
      <c r="L100" s="13"/>
      <c r="M100" s="13"/>
      <c r="N100" s="13"/>
      <c r="O100" s="13"/>
      <c r="P100" s="13"/>
      <c r="Q100" s="13"/>
      <c r="R100" s="13"/>
      <c r="S100" s="13"/>
    </row>
    <row r="101" spans="10:19" x14ac:dyDescent="0.25">
      <c r="J101" s="13"/>
      <c r="K101" s="13"/>
      <c r="L101" s="13"/>
      <c r="M101" s="13"/>
      <c r="N101" s="13"/>
      <c r="O101" s="13"/>
      <c r="P101" s="13"/>
      <c r="Q101" s="13"/>
      <c r="R101" s="13"/>
      <c r="S101" s="13"/>
    </row>
    <row r="102" spans="10:19" x14ac:dyDescent="0.25">
      <c r="J102" s="13"/>
      <c r="K102" s="13"/>
      <c r="L102" s="13"/>
      <c r="M102" s="13"/>
      <c r="N102" s="13"/>
      <c r="O102" s="13"/>
      <c r="P102" s="13"/>
      <c r="Q102" s="13"/>
      <c r="R102" s="13"/>
      <c r="S102" s="13"/>
    </row>
    <row r="103" spans="10:19" x14ac:dyDescent="0.25">
      <c r="J103" s="13"/>
      <c r="K103" s="13"/>
      <c r="L103" s="13"/>
      <c r="M103" s="13"/>
      <c r="N103" s="13"/>
      <c r="O103" s="13"/>
      <c r="P103" s="13"/>
      <c r="Q103" s="13"/>
      <c r="R103" s="13"/>
      <c r="S103" s="13"/>
    </row>
    <row r="104" spans="10:19" x14ac:dyDescent="0.25">
      <c r="J104" s="13"/>
      <c r="K104" s="13"/>
      <c r="L104" s="13"/>
      <c r="M104" s="13"/>
      <c r="N104" s="13"/>
      <c r="O104" s="13"/>
      <c r="P104" s="13"/>
      <c r="Q104" s="13"/>
      <c r="R104" s="13"/>
      <c r="S104" s="13"/>
    </row>
    <row r="105" spans="10:19" x14ac:dyDescent="0.25">
      <c r="J105" s="13"/>
      <c r="K105" s="13"/>
      <c r="L105" s="13"/>
      <c r="M105" s="13"/>
      <c r="N105" s="13"/>
      <c r="O105" s="13"/>
      <c r="P105" s="13"/>
      <c r="Q105" s="13"/>
      <c r="R105" s="13"/>
      <c r="S105" s="13"/>
    </row>
    <row r="106" spans="10:19" x14ac:dyDescent="0.25">
      <c r="J106" s="13"/>
      <c r="K106" s="13"/>
      <c r="L106" s="13"/>
      <c r="M106" s="13"/>
      <c r="N106" s="13"/>
      <c r="O106" s="13"/>
      <c r="P106" s="13"/>
      <c r="Q106" s="13"/>
      <c r="R106" s="13"/>
      <c r="S106" s="13"/>
    </row>
    <row r="107" spans="10:19" x14ac:dyDescent="0.25">
      <c r="J107" s="13"/>
      <c r="K107" s="13"/>
      <c r="L107" s="13"/>
      <c r="M107" s="13"/>
      <c r="N107" s="13"/>
      <c r="O107" s="13"/>
      <c r="P107" s="13"/>
      <c r="Q107" s="13"/>
      <c r="R107" s="13"/>
      <c r="S107" s="13"/>
    </row>
    <row r="108" spans="10:19" x14ac:dyDescent="0.25">
      <c r="J108" s="13"/>
      <c r="K108" s="13"/>
      <c r="L108" s="13"/>
      <c r="M108" s="13"/>
      <c r="N108" s="13"/>
      <c r="O108" s="13"/>
      <c r="P108" s="13"/>
      <c r="Q108" s="13"/>
      <c r="R108" s="13"/>
      <c r="S108" s="13"/>
    </row>
    <row r="109" spans="10:19" x14ac:dyDescent="0.25">
      <c r="J109" s="13"/>
      <c r="K109" s="13"/>
      <c r="L109" s="13"/>
      <c r="M109" s="13"/>
      <c r="N109" s="13"/>
      <c r="O109" s="13"/>
      <c r="P109" s="13"/>
      <c r="Q109" s="13"/>
      <c r="R109" s="13"/>
      <c r="S109" s="13"/>
    </row>
    <row r="110" spans="10:19" x14ac:dyDescent="0.25">
      <c r="J110" s="13"/>
      <c r="K110" s="13"/>
      <c r="L110" s="13"/>
      <c r="M110" s="13"/>
      <c r="N110" s="13"/>
      <c r="O110" s="13"/>
      <c r="P110" s="13"/>
      <c r="Q110" s="13"/>
      <c r="R110" s="13"/>
      <c r="S110" s="13"/>
    </row>
    <row r="111" spans="10:19" x14ac:dyDescent="0.25">
      <c r="J111" s="13"/>
      <c r="K111" s="13"/>
      <c r="L111" s="13"/>
      <c r="M111" s="13"/>
      <c r="N111" s="13"/>
      <c r="O111" s="13"/>
      <c r="P111" s="13"/>
      <c r="Q111" s="13"/>
      <c r="R111" s="13"/>
      <c r="S111" s="13"/>
    </row>
    <row r="112" spans="10:19" x14ac:dyDescent="0.25">
      <c r="J112" s="13"/>
      <c r="K112" s="13"/>
      <c r="L112" s="13"/>
      <c r="M112" s="13"/>
      <c r="N112" s="13"/>
      <c r="O112" s="13"/>
      <c r="P112" s="13"/>
      <c r="Q112" s="13"/>
      <c r="R112" s="13"/>
      <c r="S112" s="13"/>
    </row>
    <row r="113" spans="10:19" x14ac:dyDescent="0.25">
      <c r="J113" s="13"/>
      <c r="K113" s="13"/>
      <c r="L113" s="13"/>
      <c r="M113" s="13"/>
      <c r="N113" s="13"/>
      <c r="O113" s="13"/>
      <c r="P113" s="13"/>
      <c r="Q113" s="13"/>
      <c r="R113" s="13"/>
      <c r="S113" s="13"/>
    </row>
    <row r="114" spans="10:19" x14ac:dyDescent="0.25">
      <c r="J114" s="13"/>
      <c r="K114" s="13"/>
      <c r="L114" s="13"/>
      <c r="M114" s="13"/>
      <c r="N114" s="13"/>
      <c r="O114" s="13"/>
      <c r="P114" s="13"/>
      <c r="Q114" s="13"/>
      <c r="R114" s="13"/>
      <c r="S114" s="13"/>
    </row>
    <row r="115" spans="10:19" x14ac:dyDescent="0.25">
      <c r="J115" s="13"/>
      <c r="K115" s="13"/>
      <c r="L115" s="13"/>
      <c r="M115" s="13"/>
      <c r="N115" s="13"/>
      <c r="O115" s="13"/>
      <c r="P115" s="13"/>
      <c r="Q115" s="13"/>
      <c r="R115" s="13"/>
      <c r="S115" s="13"/>
    </row>
    <row r="116" spans="10:19" x14ac:dyDescent="0.25">
      <c r="J116" s="13"/>
      <c r="K116" s="13"/>
      <c r="L116" s="13"/>
      <c r="M116" s="13"/>
      <c r="N116" s="13"/>
      <c r="O116" s="13"/>
      <c r="P116" s="13"/>
      <c r="Q116" s="13"/>
      <c r="R116" s="13"/>
      <c r="S116" s="13"/>
    </row>
    <row r="117" spans="10:19" x14ac:dyDescent="0.25">
      <c r="J117" s="13"/>
      <c r="K117" s="13"/>
      <c r="L117" s="13"/>
      <c r="M117" s="13"/>
      <c r="N117" s="13"/>
      <c r="O117" s="13"/>
      <c r="P117" s="13"/>
      <c r="Q117" s="13"/>
      <c r="R117" s="13"/>
      <c r="S117" s="13"/>
    </row>
    <row r="118" spans="10:19" x14ac:dyDescent="0.25">
      <c r="J118" s="13"/>
      <c r="K118" s="13"/>
      <c r="L118" s="13"/>
      <c r="M118" s="13"/>
      <c r="N118" s="13"/>
      <c r="O118" s="13"/>
      <c r="P118" s="13"/>
      <c r="Q118" s="13"/>
      <c r="R118" s="13"/>
      <c r="S118" s="13"/>
    </row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</sheetData>
  <sheetProtection selectLockedCells="1"/>
  <protectedRanges>
    <protectedRange sqref="L16 L54:L55" name="Lhůta provedení"/>
    <protectedRange sqref="C47:F52 C20:F42" name="Materiál"/>
    <protectedRange sqref="C16:D16" name="StavbaTermín"/>
    <protectedRange sqref="G4" name="Podklad"/>
    <protectedRange sqref="D6:D10" name="Objednatel"/>
    <protectedRange sqref="C78" name="Telefon"/>
    <protectedRange sqref="C57:C58" name="StavebniPripravenost"/>
  </protectedRanges>
  <mergeCells count="35">
    <mergeCell ref="E53:F53"/>
    <mergeCell ref="B10:C10"/>
    <mergeCell ref="D10:G10"/>
    <mergeCell ref="L10:O10"/>
    <mergeCell ref="Q10:T10"/>
    <mergeCell ref="L11:O11"/>
    <mergeCell ref="Q11:T11"/>
    <mergeCell ref="Q12:T12"/>
    <mergeCell ref="Q13:T13"/>
    <mergeCell ref="Q14:T14"/>
    <mergeCell ref="O26:T33"/>
    <mergeCell ref="E43:F43"/>
    <mergeCell ref="B8:C8"/>
    <mergeCell ref="D8:G8"/>
    <mergeCell ref="L8:O8"/>
    <mergeCell ref="Q8:T8"/>
    <mergeCell ref="B9:C9"/>
    <mergeCell ref="D9:G9"/>
    <mergeCell ref="L9:O9"/>
    <mergeCell ref="Q9:T9"/>
    <mergeCell ref="B6:C6"/>
    <mergeCell ref="D6:G6"/>
    <mergeCell ref="L6:O6"/>
    <mergeCell ref="Q6:T6"/>
    <mergeCell ref="B7:C7"/>
    <mergeCell ref="D7:G7"/>
    <mergeCell ref="L7:O7"/>
    <mergeCell ref="Q7:T7"/>
    <mergeCell ref="B5:C5"/>
    <mergeCell ref="D5:G5"/>
    <mergeCell ref="L5:O5"/>
    <mergeCell ref="B2:D4"/>
    <mergeCell ref="E2:F2"/>
    <mergeCell ref="E3:F3"/>
    <mergeCell ref="E4:G4"/>
  </mergeCells>
  <hyperlinks>
    <hyperlink ref="C79" r:id="rId1" display="michal@kopl.pro" xr:uid="{E3656ABF-8D87-48E5-A38D-07A48A1C2BE0}"/>
  </hyperlinks>
  <printOptions horizontalCentered="1" verticalCentered="1"/>
  <pageMargins left="0.23622047244094491" right="0.23622047244094491" top="0.19685039370078741" bottom="0.19685039370078741" header="0.31496062992125984" footer="0.31496062992125984"/>
  <pageSetup paperSize="9" scale="11" orientation="portrait" r:id="rId2"/>
  <headerFooter alignWithMargins="0"/>
  <drawing r:id="rId3"/>
  <tableParts count="4"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A81DE-9ED3-4942-B5A4-EEE9DE9CAAFF}">
  <sheetPr codeName="Sheet2">
    <pageSetUpPr fitToPage="1"/>
  </sheetPr>
  <dimension ref="A1:CC277"/>
  <sheetViews>
    <sheetView zoomScaleNormal="100" zoomScalePageLayoutView="25" workbookViewId="0">
      <selection activeCell="C65" sqref="C65"/>
    </sheetView>
  </sheetViews>
  <sheetFormatPr defaultColWidth="9.140625" defaultRowHeight="14.25" x14ac:dyDescent="0.25"/>
  <cols>
    <col min="1" max="2" width="3.28515625" style="1" customWidth="1"/>
    <col min="3" max="3" width="77.5703125" style="1" bestFit="1" customWidth="1"/>
    <col min="4" max="4" width="13.28515625" style="1" customWidth="1"/>
    <col min="5" max="5" width="20.42578125" style="1" customWidth="1"/>
    <col min="6" max="6" width="13.42578125" style="1" bestFit="1" customWidth="1"/>
    <col min="7" max="7" width="15.7109375" style="1" customWidth="1"/>
    <col min="8" max="9" width="3.28515625" style="1" customWidth="1"/>
    <col min="10" max="11" width="9.140625" style="1"/>
    <col min="12" max="12" width="9.5703125" style="1" customWidth="1"/>
    <col min="13" max="13" width="32.7109375" style="1" bestFit="1" customWidth="1"/>
    <col min="14" max="14" width="2.140625" style="1" customWidth="1"/>
    <col min="15" max="15" width="24.28515625" style="1" customWidth="1"/>
    <col min="16" max="16" width="2.28515625" style="1" customWidth="1"/>
    <col min="17" max="19" width="9.140625" style="1"/>
    <col min="20" max="20" width="21.28515625" style="1" customWidth="1"/>
    <col min="21" max="25" width="9.140625" style="1"/>
    <col min="26" max="26" width="14.42578125" style="1" bestFit="1" customWidth="1"/>
    <col min="27" max="16384" width="9.140625" style="1"/>
  </cols>
  <sheetData>
    <row r="1" spans="1:26" ht="21" thickBot="1" x14ac:dyDescent="0.3">
      <c r="A1" s="20"/>
      <c r="B1" s="20"/>
      <c r="C1" s="20"/>
      <c r="D1" s="20"/>
      <c r="E1" s="20"/>
      <c r="F1" s="20"/>
      <c r="G1" s="20"/>
      <c r="H1" s="20"/>
      <c r="I1" s="20"/>
      <c r="L1" s="12"/>
      <c r="M1" s="12"/>
      <c r="N1" s="12"/>
      <c r="O1" s="12"/>
      <c r="P1" s="12"/>
    </row>
    <row r="2" spans="1:26" ht="21" customHeight="1" thickTop="1" x14ac:dyDescent="0.25">
      <c r="A2" s="20"/>
      <c r="B2" s="182" t="str" cm="1">
        <f t="array" ref="B2">"FAKTURA " &amp; TEXT(((LEFT(TEXT((MAX(VALUE(Vystavené!D14:D79))),"#0000000"),3)*1)+1)&amp;RIGHT(TEXT((MAX(VALUE(Vystavené!D14:D79))),"#0000000"),4),"#0000000")</f>
        <v>FAKTURA 0132023</v>
      </c>
      <c r="C2" s="182"/>
      <c r="D2" s="182"/>
      <c r="E2" s="222" t="s">
        <v>32</v>
      </c>
      <c r="F2" s="223"/>
      <c r="G2" s="220">
        <f ca="1">Nabídka!G2</f>
        <v>45157</v>
      </c>
      <c r="H2" s="22"/>
      <c r="I2" s="20"/>
      <c r="T2" s="16"/>
    </row>
    <row r="3" spans="1:26" ht="21" customHeight="1" x14ac:dyDescent="0.25">
      <c r="A3" s="20"/>
      <c r="B3" s="182"/>
      <c r="C3" s="182"/>
      <c r="D3" s="182"/>
      <c r="E3" s="224"/>
      <c r="F3" s="225"/>
      <c r="G3" s="221"/>
      <c r="H3" s="25"/>
      <c r="I3" s="20"/>
      <c r="T3" s="16"/>
    </row>
    <row r="4" spans="1:26" ht="15.75" customHeight="1" thickBot="1" x14ac:dyDescent="0.25">
      <c r="A4" s="20"/>
      <c r="B4" s="182"/>
      <c r="C4" s="182"/>
      <c r="D4" s="182"/>
      <c r="E4" s="218" t="str">
        <f>"Název projektu: "&amp;Nabídka!L5</f>
        <v>Název projektu: Europa 2023</v>
      </c>
      <c r="F4" s="219"/>
      <c r="G4" s="219"/>
      <c r="H4" s="26"/>
      <c r="I4" s="20"/>
      <c r="L4" s="156" t="s">
        <v>125</v>
      </c>
      <c r="M4" s="156"/>
      <c r="N4" s="156"/>
      <c r="O4" s="156"/>
    </row>
    <row r="5" spans="1:26" s="150" customFormat="1" ht="16.5" customHeight="1" thickTop="1" x14ac:dyDescent="0.25">
      <c r="A5" s="148"/>
      <c r="B5" s="175" t="str">
        <f>"      Dodavatel:"</f>
        <v xml:space="preserve">      Dodavatel:</v>
      </c>
      <c r="C5" s="186"/>
      <c r="D5" s="175" t="str">
        <f>"      Zákazník:"</f>
        <v xml:space="preserve">      Zákazník:</v>
      </c>
      <c r="E5" s="176"/>
      <c r="F5" s="176"/>
      <c r="G5" s="176"/>
      <c r="H5" s="149"/>
      <c r="I5" s="148"/>
      <c r="L5" s="211"/>
      <c r="M5" s="211"/>
      <c r="N5" s="211"/>
      <c r="O5" s="211"/>
      <c r="Z5" s="151"/>
    </row>
    <row r="6" spans="1:26" ht="15" customHeight="1" x14ac:dyDescent="0.25">
      <c r="A6" s="20"/>
      <c r="B6" s="187" t="str">
        <f>"      "&amp;Nabídka!Q7</f>
        <v xml:space="preserve">      Michal Kopl, Kopl Pro</v>
      </c>
      <c r="C6" s="188"/>
      <c r="D6" s="189" t="str">
        <f>Nabídka!D6</f>
        <v xml:space="preserve">      Jan Novák, Grand Hotel EUROPA</v>
      </c>
      <c r="E6" s="190"/>
      <c r="F6" s="190"/>
      <c r="G6" s="190"/>
      <c r="H6" s="25"/>
      <c r="I6" s="20"/>
      <c r="L6" s="171"/>
      <c r="M6" s="171"/>
      <c r="N6" s="171"/>
      <c r="O6" s="171"/>
      <c r="Q6" s="191"/>
      <c r="R6" s="191"/>
      <c r="S6" s="191"/>
      <c r="T6" s="191"/>
    </row>
    <row r="7" spans="1:26" ht="15" customHeight="1" x14ac:dyDescent="0.25">
      <c r="A7" s="20"/>
      <c r="B7" s="187" t="str">
        <f>"      "&amp;Nabídka!Q8&amp;", "&amp;Nabídka!Q9</f>
        <v xml:space="preserve">      Krškova 783/15, Praha 5 - Hlubočepy, Česká Republika, 152 00</v>
      </c>
      <c r="C7" s="188"/>
      <c r="D7" s="189" t="str">
        <f>Nabídka!D7</f>
        <v xml:space="preserve">      Václavské nám. 378, Praha 1 - Nové Město</v>
      </c>
      <c r="E7" s="190"/>
      <c r="F7" s="190"/>
      <c r="G7" s="190"/>
      <c r="H7" s="25"/>
      <c r="I7" s="20"/>
      <c r="L7" s="214"/>
      <c r="M7" s="214"/>
      <c r="N7" s="214"/>
      <c r="O7" s="214"/>
      <c r="Q7" s="214"/>
      <c r="R7" s="214"/>
      <c r="S7" s="214"/>
      <c r="T7" s="214"/>
    </row>
    <row r="8" spans="1:26" ht="15" customHeight="1" x14ac:dyDescent="0.25">
      <c r="A8" s="20"/>
      <c r="B8" s="187" t="str">
        <f>"      "&amp;Nabídka!Q10&amp;"  /  "&amp;Nabídka!Q11&amp;" "&amp;", "&amp;Nabídka!Q15</f>
        <v xml:space="preserve">      +420 777 062 425  /  michal@kopl.pro , IČO: 03217213</v>
      </c>
      <c r="C8" s="188"/>
      <c r="D8" s="189" t="str">
        <f>Nabídka!D8</f>
        <v xml:space="preserve">      Česká Republika, 110 00</v>
      </c>
      <c r="E8" s="190"/>
      <c r="F8" s="190"/>
      <c r="G8" s="190"/>
      <c r="H8" s="25"/>
      <c r="I8" s="20"/>
      <c r="L8" s="214"/>
      <c r="M8" s="214"/>
      <c r="N8" s="214"/>
      <c r="O8" s="214"/>
      <c r="Q8" s="214"/>
      <c r="R8" s="214"/>
      <c r="S8" s="214"/>
      <c r="T8" s="214"/>
    </row>
    <row r="9" spans="1:26" ht="15" customHeight="1" x14ac:dyDescent="0.25">
      <c r="A9" s="20"/>
      <c r="B9" s="187" t="str">
        <f>"      "&amp;"b.a.: "&amp;Nabídka!Q12&amp;"      IBAN: "&amp;Nabídka!Q13</f>
        <v xml:space="preserve">      b.a.: 670100-2200921129/6210      IBAN: CZ2062106701002200921129</v>
      </c>
      <c r="C9" s="188"/>
      <c r="D9" s="189" t="str">
        <f>Nabídka!D9</f>
        <v xml:space="preserve">      +420 999 999 999   /   jan.novak@seznam.cz</v>
      </c>
      <c r="E9" s="190"/>
      <c r="F9" s="190"/>
      <c r="G9" s="190"/>
      <c r="H9" s="25"/>
      <c r="I9" s="20"/>
      <c r="L9" s="215"/>
      <c r="M9" s="215"/>
      <c r="N9" s="215"/>
      <c r="O9" s="215"/>
      <c r="P9" s="9"/>
      <c r="Q9" s="214"/>
      <c r="R9" s="214"/>
      <c r="S9" s="214"/>
      <c r="T9" s="214"/>
    </row>
    <row r="10" spans="1:26" ht="15" customHeight="1" x14ac:dyDescent="0.25">
      <c r="A10" s="20"/>
      <c r="B10" s="187" t="str">
        <f>"      "&amp;Nabídka!Q14</f>
        <v xml:space="preserve">      https://www.kopl.pro</v>
      </c>
      <c r="C10" s="188"/>
      <c r="D10" s="189" t="str">
        <f>Nabídka!D10</f>
        <v xml:space="preserve">      IČO: 12345678</v>
      </c>
      <c r="E10" s="190"/>
      <c r="F10" s="190"/>
      <c r="G10" s="190"/>
      <c r="H10" s="25"/>
      <c r="I10" s="20"/>
      <c r="L10" s="214"/>
      <c r="M10" s="214"/>
      <c r="N10" s="214"/>
      <c r="O10" s="214"/>
      <c r="Q10" s="214"/>
      <c r="R10" s="214"/>
      <c r="S10" s="214"/>
      <c r="T10" s="214"/>
    </row>
    <row r="11" spans="1:26" ht="15" customHeight="1" thickBot="1" x14ac:dyDescent="0.3">
      <c r="A11" s="20"/>
      <c r="B11" s="30"/>
      <c r="C11" s="19"/>
      <c r="D11" s="27"/>
      <c r="E11" s="20"/>
      <c r="F11" s="31"/>
      <c r="G11" s="31"/>
      <c r="H11" s="25"/>
      <c r="I11" s="20"/>
      <c r="L11" s="216"/>
      <c r="M11" s="214"/>
      <c r="N11" s="214"/>
      <c r="O11" s="214"/>
      <c r="Q11" s="216"/>
      <c r="R11" s="214"/>
      <c r="S11" s="214"/>
      <c r="T11" s="214"/>
    </row>
    <row r="12" spans="1:26" ht="15" customHeight="1" thickTop="1" x14ac:dyDescent="0.25">
      <c r="A12" s="20"/>
      <c r="B12" s="32"/>
      <c r="C12" s="33"/>
      <c r="D12" s="34"/>
      <c r="E12" s="34"/>
      <c r="F12" s="35"/>
      <c r="G12" s="35"/>
      <c r="H12" s="22"/>
      <c r="I12" s="20"/>
      <c r="Q12" s="214"/>
      <c r="R12" s="214"/>
      <c r="S12" s="214"/>
      <c r="T12" s="214"/>
    </row>
    <row r="13" spans="1:26" ht="15" customHeight="1" x14ac:dyDescent="0.25">
      <c r="A13" s="20"/>
      <c r="B13" s="27"/>
      <c r="C13" s="23"/>
      <c r="D13" s="29"/>
      <c r="E13" s="29"/>
      <c r="F13" s="31"/>
      <c r="G13" s="31"/>
      <c r="H13" s="25"/>
      <c r="I13" s="20"/>
      <c r="Q13" s="214"/>
      <c r="R13" s="214"/>
      <c r="S13" s="214"/>
      <c r="T13" s="214"/>
      <c r="U13" s="18"/>
    </row>
    <row r="14" spans="1:26" ht="15" customHeight="1" x14ac:dyDescent="0.25">
      <c r="A14" s="20"/>
      <c r="B14" s="27"/>
      <c r="C14" s="20"/>
      <c r="D14" s="36"/>
      <c r="E14" s="28"/>
      <c r="F14" s="31"/>
      <c r="G14" s="31"/>
      <c r="H14" s="25"/>
      <c r="I14" s="20"/>
      <c r="Q14" s="216"/>
      <c r="R14" s="214"/>
      <c r="S14" s="214"/>
      <c r="T14" s="214"/>
    </row>
    <row r="15" spans="1:26" ht="15" customHeight="1" x14ac:dyDescent="0.25">
      <c r="A15" s="20"/>
      <c r="B15" s="27"/>
      <c r="C15" s="37" t="s">
        <v>10</v>
      </c>
      <c r="D15" s="38" t="s">
        <v>11</v>
      </c>
      <c r="E15" s="39" t="s">
        <v>3</v>
      </c>
      <c r="F15" s="40"/>
      <c r="G15" s="31"/>
      <c r="H15" s="25"/>
      <c r="I15" s="20"/>
      <c r="L15" s="10"/>
      <c r="T15" s="5"/>
    </row>
    <row r="16" spans="1:26" ht="15" customHeight="1" x14ac:dyDescent="0.25">
      <c r="A16" s="20"/>
      <c r="B16" s="27"/>
      <c r="C16" s="20" t="str">
        <f>Nabídka!C16</f>
        <v>Full Remote</v>
      </c>
      <c r="D16" s="41">
        <f ca="1">Nabídka!G3</f>
        <v>45187</v>
      </c>
      <c r="E16" s="42" t="str">
        <f>IF(Nabídka!L16=1,Nabídka!L16&amp;" pracovní den",IF(AND(Nabídka!L16&gt;1,Nabídka!L16&lt;5),Nabídka!L16&amp;" pracovní dny",Nabídka!L16&amp;" pracovních dnů"))</f>
        <v>120 pracovních dnů</v>
      </c>
      <c r="F16" s="43"/>
      <c r="G16" s="31"/>
      <c r="H16" s="25"/>
      <c r="I16" s="20"/>
      <c r="L16" s="74"/>
      <c r="M16" s="10"/>
      <c r="T16" s="5"/>
    </row>
    <row r="17" spans="1:23" ht="15" customHeight="1" x14ac:dyDescent="0.25">
      <c r="A17" s="20"/>
      <c r="B17" s="27"/>
      <c r="C17" s="20"/>
      <c r="D17" s="44"/>
      <c r="E17" s="28"/>
      <c r="F17" s="31"/>
      <c r="G17" s="31"/>
      <c r="H17" s="25"/>
      <c r="I17" s="20"/>
      <c r="T17" s="6"/>
    </row>
    <row r="18" spans="1:23" ht="15" customHeight="1" x14ac:dyDescent="0.25">
      <c r="A18" s="20"/>
      <c r="B18" s="27"/>
      <c r="C18" s="37"/>
      <c r="D18" s="37"/>
      <c r="E18" s="45"/>
      <c r="F18" s="31"/>
      <c r="G18" s="31"/>
      <c r="H18" s="25"/>
      <c r="I18" s="20"/>
    </row>
    <row r="19" spans="1:23" ht="15" customHeight="1" x14ac:dyDescent="0.25">
      <c r="A19" s="20"/>
      <c r="B19" s="27"/>
      <c r="C19" s="20" t="s">
        <v>13</v>
      </c>
      <c r="D19" s="46" t="s">
        <v>14</v>
      </c>
      <c r="E19" s="42" t="s">
        <v>15</v>
      </c>
      <c r="F19" s="47" t="s">
        <v>17</v>
      </c>
      <c r="G19" s="47" t="s">
        <v>16</v>
      </c>
      <c r="H19" s="48"/>
      <c r="I19" s="20"/>
      <c r="L19" s="10"/>
    </row>
    <row r="20" spans="1:23" ht="15" customHeight="1" x14ac:dyDescent="0.25">
      <c r="A20" s="20"/>
      <c r="B20" s="27"/>
      <c r="C20" s="72" t="str">
        <f>IF(Nabídka!C20&lt;&gt;"",Nabídka!C20,"")</f>
        <v>.htaccess soubor, přesměrování na HTTPS + certifikát Let's Encrypt</v>
      </c>
      <c r="D20" s="46" t="str">
        <f>IF(Nabídka!D20&lt;&gt;"",Nabídka!D20,"")</f>
        <v>soubor</v>
      </c>
      <c r="E20" s="46">
        <f>IF(Nabídka!E20&lt;&gt;"",Nabídka!E20,"")</f>
        <v>2</v>
      </c>
      <c r="F20" s="126">
        <f>IF(Nabídka!F20&lt;&gt;"",Nabídka!F20,"")</f>
        <v>50</v>
      </c>
      <c r="G20" s="126">
        <f>IF(AND((Nabídka!C20&lt;&gt;""),(Nabídka!D20&lt;&gt;""),(Nabídka!E20&lt;&gt;""),(Nabídka!F20&lt;&gt;"")),(Nabídka!E20*Nabídka!F20),"")</f>
        <v>100</v>
      </c>
      <c r="H20" s="48"/>
      <c r="I20" s="20"/>
      <c r="M20" s="7"/>
      <c r="W20" s="71"/>
    </row>
    <row r="21" spans="1:23" ht="15" customHeight="1" x14ac:dyDescent="0.25">
      <c r="A21" s="20"/>
      <c r="B21" s="27"/>
      <c r="C21" s="72" t="str">
        <f>IF(Nabídka!C21&lt;&gt;"",Nabídka!C21,"")</f>
        <v>Google Analytics - Nastavení v šabloně + přístup</v>
      </c>
      <c r="D21" s="46" t="str">
        <f>IF(Nabídka!D21&lt;&gt;"",Nabídka!D21,"")</f>
        <v>skript</v>
      </c>
      <c r="E21" s="46">
        <f>IF(Nabídka!E21&lt;&gt;"",Nabídka!E21,"")</f>
        <v>2</v>
      </c>
      <c r="F21" s="126">
        <f>IF(Nabídka!F21&lt;&gt;"",Nabídka!F21,"")</f>
        <v>50</v>
      </c>
      <c r="G21" s="126">
        <f>IF(AND((Nabídka!C21&lt;&gt;""),(Nabídka!D21&lt;&gt;""),(Nabídka!E21&lt;&gt;""),(Nabídka!F21&lt;&gt;"")),(Nabídka!E21*Nabídka!F21),"")</f>
        <v>100</v>
      </c>
      <c r="H21" s="48"/>
      <c r="I21" s="20"/>
      <c r="M21" s="7"/>
      <c r="W21" s="71"/>
    </row>
    <row r="22" spans="1:23" ht="15" customHeight="1" x14ac:dyDescent="0.25">
      <c r="A22" s="20"/>
      <c r="B22" s="27"/>
      <c r="C22" s="72" t="str">
        <f>IF(Nabídka!C22&lt;&gt;"",Nabídka!C22,"")</f>
        <v>Instalace (CMS) Joomla!, uživatelské přístupy, kategorie</v>
      </c>
      <c r="D22" s="46" t="str">
        <f>IF(Nabídka!D22&lt;&gt;"",Nabídka!D22,"")</f>
        <v>CMS</v>
      </c>
      <c r="E22" s="46">
        <f>IF(Nabídka!E22&lt;&gt;"",Nabídka!E22,"")</f>
        <v>2</v>
      </c>
      <c r="F22" s="126">
        <f>IF(Nabídka!F22&lt;&gt;"",Nabídka!F22,"")</f>
        <v>100</v>
      </c>
      <c r="G22" s="126">
        <f>IF(AND((Nabídka!C22&lt;&gt;""),(Nabídka!D22&lt;&gt;""),(Nabídka!E22&lt;&gt;""),(Nabídka!F22&lt;&gt;"")),(Nabídka!E22*Nabídka!F22),"")</f>
        <v>200</v>
      </c>
      <c r="H22" s="48"/>
      <c r="I22" s="20"/>
      <c r="L22" s="10"/>
      <c r="M22" s="7"/>
      <c r="W22" s="71"/>
    </row>
    <row r="23" spans="1:23" ht="15" customHeight="1" x14ac:dyDescent="0.25">
      <c r="A23" s="20"/>
      <c r="B23" s="27"/>
      <c r="C23" s="72" t="str">
        <f>IF(Nabídka!C23&lt;&gt;"",Nabídka!C23,"")</f>
        <v>KeePass databáze s použitými hesly (*.kdbx) + Master heslo pro přístup</v>
      </c>
      <c r="D23" s="46" t="str">
        <f>IF(Nabídka!D23&lt;&gt;"",Nabídka!D23,"")</f>
        <v>DB</v>
      </c>
      <c r="E23" s="46">
        <f>IF(Nabídka!E23&lt;&gt;"",Nabídka!E23,"")</f>
        <v>1</v>
      </c>
      <c r="F23" s="126">
        <f>IF(Nabídka!F23&lt;&gt;"",Nabídka!F23,"")</f>
        <v>50</v>
      </c>
      <c r="G23" s="126">
        <f>IF(AND((Nabídka!C23&lt;&gt;""),(Nabídka!D23&lt;&gt;""),(Nabídka!E23&lt;&gt;""),(Nabídka!F23&lt;&gt;"")),(Nabídka!E23*Nabídka!F23),"")</f>
        <v>50</v>
      </c>
      <c r="H23" s="48"/>
      <c r="I23" s="20"/>
      <c r="M23" s="7"/>
      <c r="W23" s="71"/>
    </row>
    <row r="24" spans="1:23" ht="15" customHeight="1" x14ac:dyDescent="0.25">
      <c r="A24" s="20"/>
      <c r="B24" s="27"/>
      <c r="C24" s="72" t="str">
        <f>IF(Nabídka!C24&lt;&gt;"",Nabídka!C24,"")</f>
        <v>konfig. webhostingu (NSSET, MySQL, FTP, e-maily, webserver, PHP, statistiky)</v>
      </c>
      <c r="D24" s="46" t="str">
        <f>IF(Nabídka!D24&lt;&gt;"",Nabídka!D24,"")</f>
        <v>doména</v>
      </c>
      <c r="E24" s="46">
        <f>IF(Nabídka!E24&lt;&gt;"",Nabídka!E24,"")</f>
        <v>2</v>
      </c>
      <c r="F24" s="126">
        <f>IF(Nabídka!F24&lt;&gt;"",Nabídka!F24,"")</f>
        <v>50</v>
      </c>
      <c r="G24" s="126">
        <f>IF(AND((Nabídka!C24&lt;&gt;""),(Nabídka!D24&lt;&gt;""),(Nabídka!E24&lt;&gt;""),(Nabídka!F24&lt;&gt;"")),(Nabídka!E24*Nabídka!F24),"")</f>
        <v>100</v>
      </c>
      <c r="H24" s="48"/>
      <c r="I24" s="20"/>
      <c r="L24" s="10"/>
      <c r="M24" s="7"/>
      <c r="W24" s="71"/>
    </row>
    <row r="25" spans="1:23" ht="15" customHeight="1" x14ac:dyDescent="0.25">
      <c r="A25" s="20"/>
      <c r="B25" s="27"/>
      <c r="C25" s="72" t="str">
        <f>IF(Nabídka!C25&lt;&gt;"",Nabídka!C25,"")</f>
        <v>Konfigurace Recaptcha na formuláři (secret key, site key)</v>
      </c>
      <c r="D25" s="46" t="str">
        <f>IF(Nabídka!D25&lt;&gt;"",Nabídka!D25,"")</f>
        <v>pár klíčů</v>
      </c>
      <c r="E25" s="46">
        <f>IF(Nabídka!E25&lt;&gt;"",Nabídka!E25,"")</f>
        <v>2</v>
      </c>
      <c r="F25" s="126">
        <f>IF(Nabídka!F25&lt;&gt;"",Nabídka!F25,"")</f>
        <v>50</v>
      </c>
      <c r="G25" s="126">
        <f>IF(AND((Nabídka!C25&lt;&gt;""),(Nabídka!D25&lt;&gt;""),(Nabídka!E25&lt;&gt;""),(Nabídka!F25&lt;&gt;"")),(Nabídka!E25*Nabídka!F25),"")</f>
        <v>100</v>
      </c>
      <c r="H25" s="48"/>
      <c r="I25" s="20"/>
      <c r="M25" s="7"/>
      <c r="W25" s="71"/>
    </row>
    <row r="26" spans="1:23" ht="15" customHeight="1" x14ac:dyDescent="0.25">
      <c r="A26" s="20"/>
      <c r="B26" s="27"/>
      <c r="C26" s="72" t="str">
        <f>IF(Nabídka!C26&lt;&gt;"",Nabídka!C26,"")</f>
        <v>Kontaktní formulář (mapa, jméno, email, telefon, zpráva - odesíláno na e-mail)</v>
      </c>
      <c r="D26" s="46" t="str">
        <f>IF(Nabídka!D26&lt;&gt;"",Nabídka!D26,"")</f>
        <v>formulář</v>
      </c>
      <c r="E26" s="46">
        <f>IF(Nabídka!E26&lt;&gt;"",Nabídka!E26,"")</f>
        <v>2</v>
      </c>
      <c r="F26" s="126">
        <f>IF(Nabídka!F26&lt;&gt;"",Nabídka!F26,"")</f>
        <v>300</v>
      </c>
      <c r="G26" s="126">
        <f>IF(AND((Nabídka!C26&lt;&gt;""),(Nabídka!D26&lt;&gt;""),(Nabídka!E26&lt;&gt;""),(Nabídka!F26&lt;&gt;"")),(Nabídka!E26*Nabídka!F26),"")</f>
        <v>600</v>
      </c>
      <c r="H26" s="48"/>
      <c r="I26" s="20"/>
      <c r="M26" s="7"/>
      <c r="O26" s="217"/>
      <c r="P26" s="217"/>
      <c r="Q26" s="217"/>
      <c r="R26" s="217"/>
      <c r="S26" s="217"/>
      <c r="T26" s="217"/>
      <c r="W26" s="71"/>
    </row>
    <row r="27" spans="1:23" ht="15" customHeight="1" x14ac:dyDescent="0.25">
      <c r="A27" s="20"/>
      <c r="B27" s="27"/>
      <c r="C27" s="72" t="str">
        <f>IF(Nabídka!C27&lt;&gt;"",Nabídka!C27,"")</f>
        <v>responzivní 404 stránka pro chybné URL adresy (návratová stránka)</v>
      </c>
      <c r="D27" s="46" t="str">
        <f>IF(Nabídka!D27&lt;&gt;"",Nabídka!D27,"")</f>
        <v>stránka</v>
      </c>
      <c r="E27" s="46">
        <f>IF(Nabídka!E27&lt;&gt;"",Nabídka!E27,"")</f>
        <v>2</v>
      </c>
      <c r="F27" s="126">
        <f>IF(Nabídka!F27&lt;&gt;"",Nabídka!F27,"")</f>
        <v>500</v>
      </c>
      <c r="G27" s="126">
        <f>IF(AND((Nabídka!C27&lt;&gt;""),(Nabídka!D27&lt;&gt;""),(Nabídka!E27&lt;&gt;""),(Nabídka!F27&lt;&gt;"")),(Nabídka!E27*Nabídka!F27),"")</f>
        <v>1000</v>
      </c>
      <c r="H27" s="48"/>
      <c r="I27" s="20"/>
      <c r="M27" s="7"/>
      <c r="O27" s="217"/>
      <c r="P27" s="217"/>
      <c r="Q27" s="217"/>
      <c r="R27" s="217"/>
      <c r="S27" s="217"/>
      <c r="T27" s="217"/>
      <c r="W27" s="71"/>
    </row>
    <row r="28" spans="1:23" ht="15" customHeight="1" x14ac:dyDescent="0.25">
      <c r="A28" s="20"/>
      <c r="B28" s="27"/>
      <c r="C28" s="72" t="str">
        <f>IF(Nabídka!C28&lt;&gt;"",Nabídka!C28,"")</f>
        <v>responzivní Galerie s 10ti snímky s popisem</v>
      </c>
      <c r="D28" s="46" t="str">
        <f>IF(Nabídka!D28&lt;&gt;"",Nabídka!D28,"")</f>
        <v>galerie</v>
      </c>
      <c r="E28" s="46">
        <f>IF(Nabídka!E28&lt;&gt;"",Nabídka!E28,"")</f>
        <v>2</v>
      </c>
      <c r="F28" s="126">
        <f>IF(Nabídka!F28&lt;&gt;"",Nabídka!F28,"")</f>
        <v>50</v>
      </c>
      <c r="G28" s="126">
        <f>IF(AND((Nabídka!C28&lt;&gt;""),(Nabídka!D28&lt;&gt;""),(Nabídka!E28&lt;&gt;""),(Nabídka!F28&lt;&gt;"")),(Nabídka!E28*Nabídka!F28),"")</f>
        <v>100</v>
      </c>
      <c r="H28" s="48"/>
      <c r="I28" s="20"/>
      <c r="M28" s="7"/>
      <c r="O28" s="217"/>
      <c r="P28" s="217"/>
      <c r="Q28" s="217"/>
      <c r="R28" s="217"/>
      <c r="S28" s="217"/>
      <c r="T28" s="217"/>
      <c r="W28" s="71"/>
    </row>
    <row r="29" spans="1:23" ht="15" customHeight="1" x14ac:dyDescent="0.25">
      <c r="A29" s="20"/>
      <c r="B29" s="27"/>
      <c r="C29" s="72" t="str">
        <f>IF(Nabídka!C29&lt;&gt;"",Nabídka!C29,"")</f>
        <v>responzivní stránky (Home page, O nás, Kontakt)</v>
      </c>
      <c r="D29" s="46" t="str">
        <f>IF(Nabídka!D29&lt;&gt;"",Nabídka!D29,"")</f>
        <v>stránka</v>
      </c>
      <c r="E29" s="46">
        <f>IF(Nabídka!E29&lt;&gt;"",Nabídka!E29,"")</f>
        <v>3</v>
      </c>
      <c r="F29" s="126">
        <f>IF(Nabídka!F29&lt;&gt;"",Nabídka!F29,"")</f>
        <v>500</v>
      </c>
      <c r="G29" s="126">
        <f>IF(AND((Nabídka!C29&lt;&gt;""),(Nabídka!D29&lt;&gt;""),(Nabídka!E29&lt;&gt;""),(Nabídka!F29&lt;&gt;"")),(Nabídka!E29*Nabídka!F29),"")</f>
        <v>1500</v>
      </c>
      <c r="H29" s="48"/>
      <c r="I29" s="20"/>
      <c r="M29" s="7"/>
      <c r="O29" s="217"/>
      <c r="P29" s="217"/>
      <c r="Q29" s="217"/>
      <c r="R29" s="217"/>
      <c r="S29" s="217"/>
      <c r="T29" s="217"/>
      <c r="W29" s="71"/>
    </row>
    <row r="30" spans="1:23" ht="15" customHeight="1" x14ac:dyDescent="0.25">
      <c r="A30" s="20"/>
      <c r="B30" s="27"/>
      <c r="C30" s="72" t="str">
        <f>IF(Nabídka!C30&lt;&gt;"",Nabídka!C30,"")</f>
        <v>Responzivní šablona pro použití v 5ti zařízeních - různé šířky displejů</v>
      </c>
      <c r="D30" s="46" t="str">
        <f>IF(Nabídka!D30&lt;&gt;"",Nabídka!D30,"")</f>
        <v>šablona</v>
      </c>
      <c r="E30" s="46">
        <f>IF(Nabídka!E30&lt;&gt;"",Nabídka!E30,"")</f>
        <v>2</v>
      </c>
      <c r="F30" s="126">
        <f>IF(Nabídka!F30&lt;&gt;"",Nabídka!F30,"")</f>
        <v>1500</v>
      </c>
      <c r="G30" s="126">
        <f>IF(AND((Nabídka!C30&lt;&gt;""),(Nabídka!D30&lt;&gt;""),(Nabídka!E30&lt;&gt;""),(Nabídka!F30&lt;&gt;"")),(Nabídka!E30*Nabídka!F30),"")</f>
        <v>3000</v>
      </c>
      <c r="H30" s="48"/>
      <c r="I30" s="20"/>
      <c r="M30" s="7"/>
      <c r="O30" s="217"/>
      <c r="P30" s="217"/>
      <c r="Q30" s="217"/>
      <c r="R30" s="217"/>
      <c r="S30" s="217"/>
      <c r="T30" s="217"/>
      <c r="W30" s="71"/>
    </row>
    <row r="31" spans="1:23" ht="15" customHeight="1" x14ac:dyDescent="0.25">
      <c r="A31" s="20"/>
      <c r="B31" s="27"/>
      <c r="C31" s="72" t="str">
        <f>IF(Nabídka!C31&lt;&gt;"",Nabídka!C31,"")</f>
        <v>SEO analýza konkurence (1. výsledek z Google.com na KW "ubytování" a "hotely")</v>
      </c>
      <c r="D31" s="46" t="str">
        <f>IF(Nabídka!D31&lt;&gt;"",Nabídka!D31,"")</f>
        <v>analýza</v>
      </c>
      <c r="E31" s="46">
        <f>IF(Nabídka!E31&lt;&gt;"",Nabídka!E31,"")</f>
        <v>2</v>
      </c>
      <c r="F31" s="126">
        <f>IF(Nabídka!F31&lt;&gt;"",Nabídka!F31,"")</f>
        <v>2500</v>
      </c>
      <c r="G31" s="126">
        <f>IF(AND((Nabídka!C31&lt;&gt;""),(Nabídka!D31&lt;&gt;""),(Nabídka!E31&lt;&gt;""),(Nabídka!F31&lt;&gt;"")),(Nabídka!E31*Nabídka!F31),"")</f>
        <v>5000</v>
      </c>
      <c r="H31" s="48"/>
      <c r="I31" s="20"/>
      <c r="L31" s="77"/>
      <c r="M31" s="77"/>
      <c r="N31" s="77"/>
      <c r="O31" s="217"/>
      <c r="P31" s="217"/>
      <c r="Q31" s="217"/>
      <c r="R31" s="217"/>
      <c r="S31" s="217"/>
      <c r="T31" s="217"/>
      <c r="W31" s="71"/>
    </row>
    <row r="32" spans="1:23" ht="15" customHeight="1" x14ac:dyDescent="0.25">
      <c r="A32" s="20"/>
      <c r="B32" s="27"/>
      <c r="C32" s="72" t="str">
        <f>IF(Nabídka!C32&lt;&gt;"",Nabídka!C32,"")</f>
        <v>SEO analýza webu mojehotely.cz (on-page, off-page)</v>
      </c>
      <c r="D32" s="46" t="str">
        <f>IF(Nabídka!D32&lt;&gt;"",Nabídka!D32,"")</f>
        <v>analýza</v>
      </c>
      <c r="E32" s="46">
        <f>IF(Nabídka!E32&lt;&gt;"",Nabídka!E32,"")</f>
        <v>1</v>
      </c>
      <c r="F32" s="126">
        <f>IF(Nabídka!F32&lt;&gt;"",Nabídka!F32,"")</f>
        <v>2500</v>
      </c>
      <c r="G32" s="126">
        <f>IF(AND((Nabídka!C32&lt;&gt;""),(Nabídka!D32&lt;&gt;""),(Nabídka!E32&lt;&gt;""),(Nabídka!F32&lt;&gt;"")),(Nabídka!E32*Nabídka!F32),"")</f>
        <v>2500</v>
      </c>
      <c r="H32" s="48"/>
      <c r="I32" s="20"/>
      <c r="L32" s="77"/>
      <c r="M32" s="77"/>
      <c r="N32" s="77"/>
      <c r="O32" s="217"/>
      <c r="P32" s="217"/>
      <c r="Q32" s="217"/>
      <c r="R32" s="217"/>
      <c r="S32" s="217"/>
      <c r="T32" s="217"/>
      <c r="W32" s="71"/>
    </row>
    <row r="33" spans="1:23" ht="15" customHeight="1" x14ac:dyDescent="0.25">
      <c r="A33" s="20"/>
      <c r="B33" s="27"/>
      <c r="C33" s="72" t="str">
        <f>IF(Nabídka!C33&lt;&gt;"",Nabídka!C33,"")</f>
        <v>SEO Linková pyramida (odkazy na URL odkazující na Landing page), report</v>
      </c>
      <c r="D33" s="46" t="str">
        <f>IF(Nabídka!D33&lt;&gt;"",Nabídka!D33,"")</f>
        <v>1000 odkazů</v>
      </c>
      <c r="E33" s="46">
        <f>IF(Nabídka!E33&lt;&gt;"",Nabídka!E33,"")</f>
        <v>5</v>
      </c>
      <c r="F33" s="126">
        <f>IF(Nabídka!F33&lt;&gt;"",Nabídka!F33,"")</f>
        <v>500</v>
      </c>
      <c r="G33" s="126">
        <f>IF(AND((Nabídka!C33&lt;&gt;""),(Nabídka!D33&lt;&gt;""),(Nabídka!E33&lt;&gt;""),(Nabídka!F33&lt;&gt;"")),(Nabídka!E33*Nabídka!F33),"")</f>
        <v>2500</v>
      </c>
      <c r="H33" s="48"/>
      <c r="I33" s="20"/>
      <c r="L33" s="77"/>
      <c r="M33" s="77"/>
      <c r="N33" s="77"/>
      <c r="O33" s="217"/>
      <c r="P33" s="217"/>
      <c r="Q33" s="217"/>
      <c r="R33" s="217"/>
      <c r="S33" s="217"/>
      <c r="T33" s="217"/>
      <c r="W33" s="71"/>
    </row>
    <row r="34" spans="1:23" ht="15" customHeight="1" x14ac:dyDescent="0.25">
      <c r="A34" s="20"/>
      <c r="B34" s="27"/>
      <c r="C34" s="72" t="str">
        <f>IF(Nabídka!C34&lt;&gt;"",Nabídka!C34,"")</f>
        <v>SEO Meta Description, Keywords, Title, délka (Home page, O nás, Kontakt)</v>
      </c>
      <c r="D34" s="46" t="str">
        <f>IF(Nabídka!D34&lt;&gt;"",Nabídka!D34,"")</f>
        <v>hlavička</v>
      </c>
      <c r="E34" s="46">
        <f>IF(Nabídka!E34&lt;&gt;"",Nabídka!E34,"")</f>
        <v>3</v>
      </c>
      <c r="F34" s="126">
        <f>IF(Nabídka!F34&lt;&gt;"",Nabídka!F34,"")</f>
        <v>150</v>
      </c>
      <c r="G34" s="126">
        <f>IF(AND((Nabídka!C34&lt;&gt;""),(Nabídka!D34&lt;&gt;""),(Nabídka!E34&lt;&gt;""),(Nabídka!F34&lt;&gt;"")),(Nabídka!E34*Nabídka!F34),"")</f>
        <v>450</v>
      </c>
      <c r="H34" s="48"/>
      <c r="I34" s="20"/>
      <c r="L34" s="77"/>
      <c r="M34" s="77"/>
      <c r="N34" s="77"/>
      <c r="O34" s="77"/>
      <c r="P34" s="77"/>
      <c r="Q34" s="77"/>
      <c r="R34" s="77"/>
      <c r="S34" s="77"/>
      <c r="T34" s="77"/>
      <c r="W34" s="71"/>
    </row>
    <row r="35" spans="1:23" ht="15" customHeight="1" x14ac:dyDescent="0.25">
      <c r="A35" s="20"/>
      <c r="B35" s="27"/>
      <c r="C35" s="72" t="str">
        <f>IF(Nabídka!C35&lt;&gt;"",Nabídka!C35,"")</f>
        <v>SEO obrázků - velikost souboru, rozměry, ALT tagy</v>
      </c>
      <c r="D35" s="46" t="str">
        <f>IF(Nabídka!D35&lt;&gt;"",Nabídka!D35,"")</f>
        <v>obrázek</v>
      </c>
      <c r="E35" s="46">
        <f>IF(Nabídka!E35&lt;&gt;"",Nabídka!E35,"")</f>
        <v>20</v>
      </c>
      <c r="F35" s="126">
        <f>IF(Nabídka!F35&lt;&gt;"",Nabídka!F35,"")</f>
        <v>25</v>
      </c>
      <c r="G35" s="126">
        <f>IF(AND((Nabídka!C35&lt;&gt;""),(Nabídka!D35&lt;&gt;""),(Nabídka!E35&lt;&gt;""),(Nabídka!F35&lt;&gt;"")),(Nabídka!E35*Nabídka!F35),"")</f>
        <v>500</v>
      </c>
      <c r="H35" s="48"/>
      <c r="I35" s="20"/>
      <c r="L35" s="77"/>
      <c r="M35" s="77"/>
      <c r="N35" s="77"/>
      <c r="O35" s="77"/>
      <c r="P35" s="77"/>
      <c r="Q35" s="77"/>
      <c r="R35" s="77"/>
      <c r="S35" s="77"/>
      <c r="T35" s="77"/>
      <c r="W35" s="71"/>
    </row>
    <row r="36" spans="1:23" ht="15" customHeight="1" x14ac:dyDescent="0.25">
      <c r="A36" s="20"/>
      <c r="B36" s="27"/>
      <c r="C36" s="72" t="str">
        <f>IF(Nabídka!C36&lt;&gt;"",Nabídka!C36,"")</f>
        <v>SEO report po dokončení tvorby webu</v>
      </c>
      <c r="D36" s="46" t="str">
        <f>IF(Nabídka!D36&lt;&gt;"",Nabídka!D36,"")</f>
        <v>report</v>
      </c>
      <c r="E36" s="46">
        <f>IF(Nabídka!E36&lt;&gt;"",Nabídka!E36,"")</f>
        <v>2</v>
      </c>
      <c r="F36" s="126">
        <f>IF(Nabídka!F36&lt;&gt;"",Nabídka!F36,"")</f>
        <v>50</v>
      </c>
      <c r="G36" s="126">
        <f>IF(AND((Nabídka!C36&lt;&gt;""),(Nabídka!D36&lt;&gt;""),(Nabídka!E36&lt;&gt;""),(Nabídka!F36&lt;&gt;"")),(Nabídka!E36*Nabídka!F36),"")</f>
        <v>100</v>
      </c>
      <c r="H36" s="48"/>
      <c r="I36" s="20"/>
      <c r="L36" s="77"/>
      <c r="M36" s="77"/>
      <c r="N36" s="77"/>
      <c r="O36" s="77"/>
      <c r="P36" s="77"/>
      <c r="Q36" s="77"/>
      <c r="R36" s="77"/>
      <c r="S36" s="77"/>
      <c r="T36" s="77"/>
      <c r="W36" s="71"/>
    </row>
    <row r="37" spans="1:23" ht="15" customHeight="1" x14ac:dyDescent="0.25">
      <c r="A37" s="20"/>
      <c r="B37" s="27"/>
      <c r="C37" s="72" t="str">
        <f>IF(Nabídka!C37&lt;&gt;"",Nabídka!C37,"")</f>
        <v>SEO Sitemap.xml a Robots.txt</v>
      </c>
      <c r="D37" s="46" t="str">
        <f>IF(Nabídka!D37&lt;&gt;"",Nabídka!D37,"")</f>
        <v>soubor</v>
      </c>
      <c r="E37" s="46">
        <f>IF(Nabídka!E37&lt;&gt;"",Nabídka!E37,"")</f>
        <v>1</v>
      </c>
      <c r="F37" s="126">
        <f>IF(Nabídka!F37&lt;&gt;"",Nabídka!F37,"")</f>
        <v>50</v>
      </c>
      <c r="G37" s="126">
        <f>IF(AND((Nabídka!C37&lt;&gt;""),(Nabídka!D37&lt;&gt;""),(Nabídka!E37&lt;&gt;""),(Nabídka!F37&lt;&gt;"")),(Nabídka!E37*Nabídka!F37),"")</f>
        <v>50</v>
      </c>
      <c r="H37" s="48"/>
      <c r="I37" s="20"/>
      <c r="L37" s="77"/>
      <c r="M37" s="77"/>
      <c r="N37" s="77"/>
      <c r="O37" s="77"/>
      <c r="P37" s="77"/>
      <c r="Q37" s="77"/>
      <c r="R37" s="77"/>
      <c r="S37" s="77"/>
      <c r="T37" s="77"/>
      <c r="W37" s="71"/>
    </row>
    <row r="38" spans="1:23" ht="15" customHeight="1" x14ac:dyDescent="0.25">
      <c r="A38" s="20"/>
      <c r="B38" s="27"/>
      <c r="C38" s="72" t="str">
        <f>IF(Nabídka!C38&lt;&gt;"",Nabídka!C38,"")</f>
        <v>SEO URL-Redirecting a Indexace zpětných odkazů (i z Linkové pyramidy)</v>
      </c>
      <c r="D38" s="46" t="str">
        <f>IF(Nabídka!D38&lt;&gt;"",Nabídka!D38,"")</f>
        <v>měsíc</v>
      </c>
      <c r="E38" s="46">
        <f>IF(Nabídka!E38&lt;&gt;"",Nabídka!E38,"")</f>
        <v>3</v>
      </c>
      <c r="F38" s="126">
        <f>IF(Nabídka!F38&lt;&gt;"",Nabídka!F38,"")</f>
        <v>300</v>
      </c>
      <c r="G38" s="126">
        <f>IF(AND((Nabídka!C38&lt;&gt;""),(Nabídka!D38&lt;&gt;""),(Nabídka!E38&lt;&gt;""),(Nabídka!F38&lt;&gt;"")),(Nabídka!E38*Nabídka!F38),"")</f>
        <v>900</v>
      </c>
      <c r="H38" s="48"/>
      <c r="I38" s="20"/>
      <c r="L38" s="77"/>
      <c r="M38" s="77"/>
      <c r="N38" s="77"/>
      <c r="O38" s="77"/>
      <c r="P38" s="77"/>
      <c r="Q38" s="77"/>
      <c r="R38" s="77"/>
      <c r="S38" s="77"/>
      <c r="T38" s="77"/>
      <c r="W38" s="71"/>
    </row>
    <row r="39" spans="1:23" ht="15" customHeight="1" x14ac:dyDescent="0.25">
      <c r="A39" s="20"/>
      <c r="B39" s="27"/>
      <c r="C39" s="72" t="str">
        <f>IF(Nabídka!C39&lt;&gt;"",Nabídka!C39,"")</f>
        <v>SEO Zpětné odkazy, report</v>
      </c>
      <c r="D39" s="46" t="str">
        <f>IF(Nabídka!D39&lt;&gt;"",Nabídka!D39,"")</f>
        <v>1000 odkazů</v>
      </c>
      <c r="E39" s="46">
        <f>IF(Nabídka!E39&lt;&gt;"",Nabídka!E39,"")</f>
        <v>5</v>
      </c>
      <c r="F39" s="126">
        <f>IF(Nabídka!F39&lt;&gt;"",Nabídka!F39,"")</f>
        <v>50</v>
      </c>
      <c r="G39" s="126">
        <f>IF(AND((Nabídka!C39&lt;&gt;""),(Nabídka!D39&lt;&gt;""),(Nabídka!E39&lt;&gt;""),(Nabídka!F39&lt;&gt;"")),(Nabídka!E39*Nabídka!F39),"")</f>
        <v>250</v>
      </c>
      <c r="H39" s="48"/>
      <c r="I39" s="20"/>
      <c r="M39" s="7"/>
      <c r="W39" s="71"/>
    </row>
    <row r="40" spans="1:23" ht="15" customHeight="1" x14ac:dyDescent="0.25">
      <c r="A40" s="20"/>
      <c r="B40" s="27"/>
      <c r="C40" s="72" t="str">
        <f>IF(Nabídka!C40&lt;&gt;"",Nabídka!C40,"")</f>
        <v>Zašifrování kontaktních údajů (JavaScript) - telefony, e-mail</v>
      </c>
      <c r="D40" s="46" t="str">
        <f>IF(Nabídka!D40&lt;&gt;"",Nabídka!D40,"")</f>
        <v>odkaz</v>
      </c>
      <c r="E40" s="46">
        <f>IF(Nabídka!E40&lt;&gt;"",Nabídka!E40,"")</f>
        <v>6</v>
      </c>
      <c r="F40" s="126">
        <f>IF(Nabídka!F40&lt;&gt;"",Nabídka!F40,"")</f>
        <v>20.149999999999999</v>
      </c>
      <c r="G40" s="126">
        <f>IF(AND((Nabídka!C40&lt;&gt;""),(Nabídka!D40&lt;&gt;""),(Nabídka!E40&lt;&gt;""),(Nabídka!F40&lt;&gt;"")),(Nabídka!E40*Nabídka!F40),"")</f>
        <v>120.89999999999999</v>
      </c>
      <c r="H40" s="48"/>
      <c r="I40" s="20"/>
      <c r="L40" s="17"/>
      <c r="W40" s="71"/>
    </row>
    <row r="41" spans="1:23" ht="15" customHeight="1" x14ac:dyDescent="0.25">
      <c r="A41" s="20"/>
      <c r="B41" s="27"/>
      <c r="C41" s="72" t="str">
        <f>IF(Nabídka!C41&lt;&gt;"",Nabídka!C41,"")</f>
        <v>Zaškolení práce v CMS i editoru Nicepage, konzultace</v>
      </c>
      <c r="D41" s="46" t="str">
        <f>IF(Nabídka!D41&lt;&gt;"",Nabídka!D41,"")</f>
        <v>hodina</v>
      </c>
      <c r="E41" s="46">
        <f>IF(Nabídka!E41&lt;&gt;"",Nabídka!E41,"")</f>
        <v>1</v>
      </c>
      <c r="F41" s="126">
        <f>IF(Nabídka!F41&lt;&gt;"",Nabídka!F41,"")</f>
        <v>300</v>
      </c>
      <c r="G41" s="126">
        <f>IF(AND((Nabídka!C41&lt;&gt;""),(Nabídka!D41&lt;&gt;""),(Nabídka!E41&lt;&gt;""),(Nabídka!F41&lt;&gt;"")),(Nabídka!E41*Nabídka!F41),"")</f>
        <v>300</v>
      </c>
      <c r="H41" s="48"/>
      <c r="I41" s="20"/>
      <c r="W41" s="71"/>
    </row>
    <row r="42" spans="1:23" ht="15" customHeight="1" x14ac:dyDescent="0.25">
      <c r="A42" s="20"/>
      <c r="B42" s="27"/>
      <c r="C42" s="72" t="str">
        <f>IF(Nabídka!C42&lt;&gt;"",Nabídka!C42,"")</f>
        <v/>
      </c>
      <c r="D42" s="46" t="str">
        <f>IF(Nabídka!D42&lt;&gt;"",Nabídka!D42,"")</f>
        <v/>
      </c>
      <c r="E42" s="46" t="str">
        <f>IF(Nabídka!E42&lt;&gt;"",Nabídka!E42,"")</f>
        <v/>
      </c>
      <c r="F42" s="126" t="str">
        <f>IF(Nabídka!F42&lt;&gt;"",Nabídka!F42,"")</f>
        <v/>
      </c>
      <c r="G42" s="126" t="str">
        <f>IF(AND((Nabídka!C42&lt;&gt;""),(Nabídka!D42&lt;&gt;""),(Nabídka!E42&lt;&gt;""),(Nabídka!F42&lt;&gt;"")),(Nabídka!E42*Nabídka!F42),"")</f>
        <v/>
      </c>
      <c r="H42" s="49"/>
      <c r="I42" s="20"/>
      <c r="W42" s="71"/>
    </row>
    <row r="43" spans="1:23" ht="15" customHeight="1" thickBot="1" x14ac:dyDescent="0.3">
      <c r="A43" s="20"/>
      <c r="B43" s="27"/>
      <c r="C43" s="20"/>
      <c r="D43" s="20"/>
      <c r="E43" s="184" t="s">
        <v>18</v>
      </c>
      <c r="F43" s="185"/>
      <c r="G43" s="127">
        <f>SUM(Nabídka!G20:'Nabídka'!G42)</f>
        <v>19520.900000000001</v>
      </c>
      <c r="H43" s="48"/>
      <c r="I43" s="20"/>
      <c r="L43" s="10"/>
      <c r="W43" s="71"/>
    </row>
    <row r="44" spans="1:23" ht="15" customHeight="1" x14ac:dyDescent="0.25">
      <c r="A44" s="20"/>
      <c r="B44" s="27"/>
      <c r="C44" s="20"/>
      <c r="D44" s="20"/>
      <c r="E44" s="50"/>
      <c r="F44" s="50"/>
      <c r="G44" s="51"/>
      <c r="H44" s="48"/>
      <c r="I44" s="20"/>
      <c r="M44" s="7"/>
      <c r="W44" s="71"/>
    </row>
    <row r="45" spans="1:23" ht="15" customHeight="1" x14ac:dyDescent="0.25">
      <c r="A45" s="20"/>
      <c r="B45" s="27"/>
      <c r="C45" s="20"/>
      <c r="D45" s="20"/>
      <c r="E45" s="45"/>
      <c r="F45" s="52"/>
      <c r="G45" s="52"/>
      <c r="H45" s="48"/>
      <c r="I45" s="20"/>
      <c r="M45" s="7"/>
      <c r="W45" s="71"/>
    </row>
    <row r="46" spans="1:23" ht="15" customHeight="1" x14ac:dyDescent="0.25">
      <c r="A46" s="20"/>
      <c r="B46" s="27"/>
      <c r="C46" s="20" t="s">
        <v>19</v>
      </c>
      <c r="D46" s="46" t="s">
        <v>14</v>
      </c>
      <c r="E46" s="39" t="s">
        <v>15</v>
      </c>
      <c r="F46" s="47" t="s">
        <v>17</v>
      </c>
      <c r="G46" s="47" t="s">
        <v>16</v>
      </c>
      <c r="H46" s="48"/>
      <c r="I46" s="20"/>
      <c r="L46" s="11"/>
      <c r="M46" s="7"/>
      <c r="W46" s="71"/>
    </row>
    <row r="47" spans="1:23" ht="15" customHeight="1" x14ac:dyDescent="0.25">
      <c r="A47" s="20"/>
      <c r="B47" s="27"/>
      <c r="C47" s="20" t="str">
        <f>IF(Nabídka!C47&lt;&gt;"",Nabídka!C47,"")</f>
        <v>1 roční předplatné EBOLA BASIC (10GB, e-maily, MySQL, pro 5 domén)</v>
      </c>
      <c r="D47" s="20" t="str">
        <f>IF(Nabídka!D47&lt;&gt;"",Nabídka!D47,"")</f>
        <v>webhosting</v>
      </c>
      <c r="E47" s="46">
        <f>IF(Nabídka!E47&lt;&gt;"",Nabídka!E47,"")</f>
        <v>1</v>
      </c>
      <c r="F47" s="126">
        <f>IF(Nabídka!F47&lt;&gt;"",Nabídka!F47,"")</f>
        <v>540</v>
      </c>
      <c r="G47" s="126">
        <f>IF(AND((Nabídka!C47&lt;&gt;""),(Nabídka!D47&lt;&gt;""),(Nabídka!E47&lt;&gt;""),(Nabídka!F47&lt;&gt;"")),(Nabídka!E47*Nabídka!F47),"")</f>
        <v>540</v>
      </c>
      <c r="H47" s="48"/>
      <c r="I47" s="20"/>
      <c r="L47" s="10"/>
      <c r="M47" s="7"/>
      <c r="W47" s="71"/>
    </row>
    <row r="48" spans="1:23" ht="15" customHeight="1" x14ac:dyDescent="0.25">
      <c r="A48" s="20"/>
      <c r="B48" s="27"/>
      <c r="C48" s="20" t="str">
        <f>IF(Nabídka!C48&lt;&gt;"",Nabídka!C48,"")</f>
        <v>1 roční předplatné domény ubytovani.shop - registrátor tele3.cz</v>
      </c>
      <c r="D48" s="20" t="str">
        <f>IF(Nabídka!D48&lt;&gt;"",Nabídka!D48,"")</f>
        <v>doména</v>
      </c>
      <c r="E48" s="46">
        <f>IF(Nabídka!E48&lt;&gt;"",Nabídka!E48,"")</f>
        <v>1</v>
      </c>
      <c r="F48" s="126">
        <f>IF(Nabídka!F48&lt;&gt;"",Nabídka!F48,"")</f>
        <v>819</v>
      </c>
      <c r="G48" s="126">
        <f>IF(AND((Nabídka!C48&lt;&gt;""),(Nabídka!D48&lt;&gt;""),(Nabídka!E48&lt;&gt;""),(Nabídka!F48&lt;&gt;"")),(Nabídka!E48*Nabídka!F48),"")</f>
        <v>819</v>
      </c>
      <c r="H48" s="48"/>
      <c r="I48" s="20"/>
      <c r="W48" s="71"/>
    </row>
    <row r="49" spans="1:81" ht="15" customHeight="1" x14ac:dyDescent="0.25">
      <c r="A49" s="20"/>
      <c r="B49" s="27"/>
      <c r="C49" s="20" t="str">
        <f>IF(Nabídka!C49&lt;&gt;"",Nabídka!C49,"")</f>
        <v>1 roční předplatné domény hotely.shop - registrátor tele3.cz</v>
      </c>
      <c r="D49" s="20" t="str">
        <f>IF(Nabídka!D49&lt;&gt;"",Nabídka!D49,"")</f>
        <v>doména</v>
      </c>
      <c r="E49" s="46">
        <f>IF(Nabídka!E49&lt;&gt;"",Nabídka!E49,"")</f>
        <v>1</v>
      </c>
      <c r="F49" s="126">
        <f>IF(Nabídka!F49&lt;&gt;"",Nabídka!F49,"")</f>
        <v>819</v>
      </c>
      <c r="G49" s="126">
        <f>IF(AND((Nabídka!C49&lt;&gt;""),(Nabídka!D49&lt;&gt;""),(Nabídka!E49&lt;&gt;""),(Nabídka!F49&lt;&gt;"")),(Nabídka!E49*Nabídka!F49),"")</f>
        <v>819</v>
      </c>
      <c r="H49" s="48"/>
      <c r="I49" s="20"/>
      <c r="W49" s="71"/>
    </row>
    <row r="50" spans="1:81" ht="15" customHeight="1" x14ac:dyDescent="0.25">
      <c r="A50" s="20"/>
      <c r="B50" s="27"/>
      <c r="C50" s="20" t="str">
        <f>IF(Nabídka!C50&lt;&gt;"",Nabídka!C50,"")</f>
        <v>Předplatné indexace (linklicious.co - Pro 57$ - Google, AHREFS, MajesticSEO)</v>
      </c>
      <c r="D50" s="20" t="str">
        <f>IF(Nabídka!D50&lt;&gt;"",Nabídka!D50,"")</f>
        <v>měsíc</v>
      </c>
      <c r="E50" s="46">
        <f>IF(Nabídka!E50&lt;&gt;"",Nabídka!E50,"")</f>
        <v>4</v>
      </c>
      <c r="F50" s="126">
        <f>IF(Nabídka!F50&lt;&gt;"",Nabídka!F50,"")</f>
        <v>1260</v>
      </c>
      <c r="G50" s="126">
        <f>IF(AND((Nabídka!C50&lt;&gt;""),(Nabídka!D50&lt;&gt;""),(Nabídka!E50&lt;&gt;""),(Nabídka!F50&lt;&gt;"")),(Nabídka!E50*Nabídka!F50),"")</f>
        <v>5040</v>
      </c>
      <c r="H50" s="48"/>
      <c r="I50" s="20"/>
      <c r="L50" s="17"/>
      <c r="W50" s="71"/>
    </row>
    <row r="51" spans="1:81" ht="15" customHeight="1" x14ac:dyDescent="0.25">
      <c r="A51" s="20"/>
      <c r="B51" s="27"/>
      <c r="C51" s="20" t="str">
        <f>IF(Nabídka!C51&lt;&gt;"",Nabídka!C51,"")</f>
        <v>No-code WYSIWIG editor Nicepage Ultimate (brandovaná licence)</v>
      </c>
      <c r="D51" s="20" t="str">
        <f>IF(Nabídka!D51&lt;&gt;"",Nabídka!D51,"")</f>
        <v>doména</v>
      </c>
      <c r="E51" s="46">
        <f>IF(Nabídka!E51&lt;&gt;"",Nabídka!E51,"")</f>
        <v>2</v>
      </c>
      <c r="F51" s="126">
        <f>IF(Nabídka!F51&lt;&gt;"",Nabídka!F51,"")</f>
        <v>0</v>
      </c>
      <c r="G51" s="126">
        <f>IF(AND((Nabídka!C51&lt;&gt;""),(Nabídka!D51&lt;&gt;""),(Nabídka!E51&lt;&gt;""),(Nabídka!F51&lt;&gt;"")),(Nabídka!E51*Nabídka!F51),"")</f>
        <v>0</v>
      </c>
      <c r="H51" s="48"/>
      <c r="I51" s="20"/>
    </row>
    <row r="52" spans="1:81" ht="15" customHeight="1" x14ac:dyDescent="0.25">
      <c r="A52" s="20"/>
      <c r="B52" s="27"/>
      <c r="C52" s="20" t="str">
        <f>IF(Nabídka!C52&lt;&gt;"",Nabídka!C52,"")</f>
        <v/>
      </c>
      <c r="D52" s="20" t="str">
        <f>IF(Nabídka!D52&lt;&gt;"",Nabídka!D52,"")</f>
        <v/>
      </c>
      <c r="E52" s="46" t="str">
        <f>IF(Nabídka!E52&lt;&gt;"",Nabídka!E52,"")</f>
        <v/>
      </c>
      <c r="F52" s="126" t="str">
        <f>IF(Nabídka!F52&lt;&gt;"",Nabídka!F52,"")</f>
        <v/>
      </c>
      <c r="G52" s="126" t="str">
        <f>IF(AND((Nabídka!C52&lt;&gt;""),(Nabídka!D52&lt;&gt;""),(Nabídka!E52&lt;&gt;""),(Nabídka!F52&lt;&gt;"")),(Nabídka!E52*Nabídka!F52),"")</f>
        <v/>
      </c>
      <c r="H52" s="49"/>
      <c r="I52" s="20"/>
    </row>
    <row r="53" spans="1:81" ht="15" customHeight="1" thickBot="1" x14ac:dyDescent="0.3">
      <c r="A53" s="20"/>
      <c r="B53" s="27"/>
      <c r="C53" s="20"/>
      <c r="D53" s="20"/>
      <c r="E53" s="159" t="s">
        <v>34</v>
      </c>
      <c r="F53" s="160"/>
      <c r="G53" s="128">
        <f>SUM(Nabídka!G47:'Nabídka'!G52)</f>
        <v>7218</v>
      </c>
      <c r="H53" s="49"/>
      <c r="I53" s="20"/>
    </row>
    <row r="54" spans="1:81" ht="15" customHeight="1" x14ac:dyDescent="0.25">
      <c r="A54" s="20"/>
      <c r="B54" s="27"/>
      <c r="C54" s="20"/>
      <c r="D54" s="37"/>
      <c r="E54" s="45"/>
      <c r="F54" s="53"/>
      <c r="G54" s="54"/>
      <c r="H54" s="49"/>
      <c r="I54" s="20"/>
      <c r="L54" s="75"/>
      <c r="M54" s="10"/>
    </row>
    <row r="55" spans="1:81" ht="15" customHeight="1" x14ac:dyDescent="0.25">
      <c r="A55" s="20"/>
      <c r="B55" s="27"/>
      <c r="C55" s="20"/>
      <c r="D55" s="20"/>
      <c r="E55" s="20"/>
      <c r="F55" s="20"/>
      <c r="G55" s="20"/>
      <c r="H55" s="49"/>
      <c r="I55" s="20"/>
      <c r="L55" s="75"/>
      <c r="M55" s="10"/>
    </row>
    <row r="56" spans="1:81" ht="15" customHeight="1" thickBot="1" x14ac:dyDescent="0.3">
      <c r="A56" s="20"/>
      <c r="B56" s="27"/>
      <c r="C56" s="37"/>
      <c r="D56" s="20"/>
      <c r="E56" s="23"/>
      <c r="F56" s="69"/>
      <c r="G56" s="73"/>
      <c r="H56" s="49"/>
      <c r="I56" s="20"/>
      <c r="J56" s="13"/>
      <c r="K56" s="13"/>
      <c r="L56" s="13"/>
      <c r="M56" s="13"/>
      <c r="N56" s="13"/>
      <c r="O56" s="13"/>
      <c r="P56" s="13"/>
      <c r="Q56" s="13"/>
      <c r="R56" s="13"/>
      <c r="S56" s="13"/>
    </row>
    <row r="57" spans="1:81" ht="15" customHeight="1" thickTop="1" x14ac:dyDescent="0.25">
      <c r="A57" s="20"/>
      <c r="B57" s="27"/>
      <c r="C57" s="20"/>
      <c r="D57" s="20"/>
      <c r="E57" s="78"/>
      <c r="F57" s="141" t="s">
        <v>21</v>
      </c>
      <c r="G57" s="129">
        <f>Nabídka!G56</f>
        <v>26738.9</v>
      </c>
      <c r="H57" s="49"/>
      <c r="I57" s="20"/>
      <c r="J57" s="13"/>
      <c r="K57" s="13"/>
      <c r="L57" s="64"/>
      <c r="M57" s="64"/>
      <c r="N57" s="64"/>
      <c r="O57" s="64"/>
      <c r="P57" s="64"/>
      <c r="Q57" s="64"/>
      <c r="R57" s="64"/>
      <c r="S57" s="64"/>
    </row>
    <row r="58" spans="1:81" ht="15" customHeight="1" thickBot="1" x14ac:dyDescent="0.3">
      <c r="A58" s="20"/>
      <c r="B58" s="27"/>
      <c r="C58" s="20"/>
      <c r="D58" s="20"/>
      <c r="E58" s="79"/>
      <c r="F58" s="142" t="str">
        <f>Nabídka!F57</f>
        <v>Celkem s DPH 21% (5 617 Kč):</v>
      </c>
      <c r="G58" s="131">
        <f>Nabídka!G57</f>
        <v>32355</v>
      </c>
      <c r="H58" s="80"/>
      <c r="I58" s="81"/>
      <c r="J58" s="82"/>
      <c r="K58" s="82"/>
      <c r="L58" s="64"/>
      <c r="M58" s="64"/>
      <c r="N58" s="64"/>
      <c r="O58" s="64"/>
      <c r="P58" s="64"/>
      <c r="Q58" s="64"/>
      <c r="R58" s="64"/>
      <c r="S58" s="64"/>
      <c r="T58" s="83"/>
      <c r="U58" s="83"/>
      <c r="V58" s="83"/>
      <c r="W58" s="83"/>
      <c r="X58" s="83"/>
      <c r="Y58" s="83"/>
      <c r="Z58" s="83"/>
      <c r="AA58" s="83"/>
      <c r="AB58" s="83"/>
      <c r="AC58" s="83"/>
      <c r="AD58" s="83"/>
      <c r="AE58" s="83"/>
      <c r="AF58" s="83"/>
      <c r="AG58" s="83"/>
      <c r="AH58" s="83"/>
      <c r="AI58" s="83"/>
      <c r="AJ58" s="83"/>
      <c r="AK58" s="83"/>
      <c r="AL58" s="83"/>
      <c r="AM58" s="83"/>
      <c r="AN58" s="83"/>
      <c r="AO58" s="83"/>
      <c r="AP58" s="83"/>
      <c r="AQ58" s="83"/>
      <c r="AR58" s="83"/>
      <c r="AS58" s="83"/>
      <c r="AT58" s="83"/>
      <c r="AU58" s="83"/>
      <c r="AV58" s="83"/>
      <c r="AW58" s="83"/>
      <c r="AX58" s="83"/>
      <c r="AY58" s="83"/>
      <c r="AZ58" s="83"/>
      <c r="BA58" s="83"/>
      <c r="BB58" s="83"/>
      <c r="BC58" s="83"/>
      <c r="BD58" s="83"/>
      <c r="BE58" s="83"/>
      <c r="BF58" s="83"/>
      <c r="BG58" s="83"/>
      <c r="BH58" s="83"/>
      <c r="BI58" s="83"/>
      <c r="BJ58" s="83"/>
      <c r="BK58" s="83"/>
      <c r="BL58" s="83"/>
      <c r="BM58" s="83"/>
      <c r="BN58" s="83"/>
      <c r="BO58" s="83"/>
      <c r="BP58" s="83"/>
      <c r="BQ58" s="83"/>
      <c r="BR58" s="83"/>
      <c r="BS58" s="83"/>
      <c r="BT58" s="83"/>
      <c r="BU58" s="83"/>
      <c r="BV58" s="83"/>
      <c r="BW58" s="83"/>
      <c r="BX58" s="83"/>
      <c r="BY58" s="83"/>
      <c r="BZ58" s="83"/>
      <c r="CA58" s="83"/>
      <c r="CB58" s="83"/>
      <c r="CC58" s="83"/>
    </row>
    <row r="59" spans="1:81" ht="15" customHeight="1" thickTop="1" x14ac:dyDescent="0.25">
      <c r="A59" s="20"/>
      <c r="B59" s="27"/>
      <c r="C59" s="20"/>
      <c r="D59" s="20"/>
      <c r="E59" s="23"/>
      <c r="F59" s="69"/>
      <c r="G59" s="70" t="s">
        <v>93</v>
      </c>
      <c r="H59" s="80"/>
      <c r="I59" s="81"/>
      <c r="J59" s="82"/>
      <c r="K59" s="82"/>
      <c r="L59" s="64"/>
      <c r="M59" s="64"/>
      <c r="N59" s="64"/>
      <c r="O59" s="64"/>
      <c r="P59" s="64"/>
      <c r="Q59" s="64"/>
      <c r="R59" s="64"/>
      <c r="S59" s="64"/>
      <c r="T59" s="83"/>
      <c r="U59" s="83"/>
      <c r="V59" s="83"/>
      <c r="W59" s="83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3"/>
      <c r="AK59" s="83"/>
      <c r="AL59" s="83"/>
      <c r="AM59" s="83"/>
      <c r="AN59" s="83"/>
      <c r="AO59" s="83"/>
      <c r="AP59" s="83"/>
      <c r="AQ59" s="83"/>
      <c r="AR59" s="83"/>
      <c r="AS59" s="83"/>
      <c r="AT59" s="83"/>
      <c r="AU59" s="83"/>
      <c r="AV59" s="83"/>
      <c r="AW59" s="83"/>
      <c r="AX59" s="83"/>
      <c r="AY59" s="83"/>
      <c r="AZ59" s="83"/>
      <c r="BA59" s="83"/>
      <c r="BB59" s="83"/>
      <c r="BC59" s="83"/>
      <c r="BD59" s="83"/>
      <c r="BE59" s="83"/>
      <c r="BF59" s="83"/>
      <c r="BG59" s="83"/>
      <c r="BH59" s="83"/>
      <c r="BI59" s="83"/>
      <c r="BJ59" s="83"/>
      <c r="BK59" s="83"/>
      <c r="BL59" s="83"/>
      <c r="BM59" s="83"/>
      <c r="BN59" s="83"/>
      <c r="BO59" s="83"/>
      <c r="BP59" s="83"/>
      <c r="BQ59" s="83"/>
      <c r="BR59" s="83"/>
      <c r="BS59" s="83"/>
      <c r="BT59" s="83"/>
      <c r="BU59" s="83"/>
      <c r="BV59" s="83"/>
      <c r="BW59" s="83"/>
      <c r="BX59" s="83"/>
      <c r="BY59" s="83"/>
      <c r="BZ59" s="83"/>
      <c r="CA59" s="83"/>
      <c r="CB59" s="83"/>
      <c r="CC59" s="83"/>
    </row>
    <row r="60" spans="1:81" ht="15" customHeight="1" x14ac:dyDescent="0.25">
      <c r="A60" s="20"/>
      <c r="B60" s="27"/>
      <c r="C60" s="20"/>
      <c r="D60" s="20"/>
      <c r="E60" s="45"/>
      <c r="F60" s="52"/>
      <c r="G60" s="20"/>
      <c r="H60" s="80"/>
      <c r="I60" s="81"/>
      <c r="J60" s="82"/>
      <c r="K60" s="82"/>
      <c r="L60" s="64"/>
      <c r="M60" s="64"/>
      <c r="N60" s="64"/>
      <c r="O60" s="64"/>
      <c r="P60" s="64"/>
      <c r="Q60" s="64"/>
      <c r="R60" s="64"/>
      <c r="S60" s="64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3"/>
      <c r="AY60" s="83"/>
      <c r="AZ60" s="83"/>
      <c r="BA60" s="83"/>
      <c r="BB60" s="83"/>
      <c r="BC60" s="83"/>
      <c r="BD60" s="83"/>
      <c r="BE60" s="83"/>
      <c r="BF60" s="83"/>
      <c r="BG60" s="83"/>
      <c r="BH60" s="83"/>
      <c r="BI60" s="83"/>
      <c r="BJ60" s="83"/>
      <c r="BK60" s="83"/>
      <c r="BL60" s="83"/>
      <c r="BM60" s="83"/>
      <c r="BN60" s="83"/>
      <c r="BO60" s="83"/>
      <c r="BP60" s="83"/>
      <c r="BQ60" s="83"/>
      <c r="BR60" s="83"/>
      <c r="BS60" s="83"/>
      <c r="BT60" s="83"/>
      <c r="BU60" s="83"/>
      <c r="BV60" s="83"/>
      <c r="BW60" s="83"/>
      <c r="BX60" s="83"/>
      <c r="BY60" s="83"/>
      <c r="BZ60" s="83"/>
      <c r="CA60" s="83"/>
      <c r="CB60" s="83"/>
      <c r="CC60" s="83"/>
    </row>
    <row r="61" spans="1:81" ht="15" customHeight="1" x14ac:dyDescent="0.25">
      <c r="A61" s="20"/>
      <c r="B61" s="27"/>
      <c r="C61" s="81"/>
      <c r="D61" s="84"/>
      <c r="E61" s="81"/>
      <c r="F61" s="81"/>
      <c r="G61" s="81"/>
      <c r="H61" s="80"/>
      <c r="I61" s="81"/>
      <c r="J61" s="82"/>
      <c r="K61" s="82"/>
      <c r="L61" s="64"/>
      <c r="M61" s="64"/>
      <c r="N61" s="64"/>
      <c r="O61" s="64"/>
      <c r="P61" s="64"/>
      <c r="Q61" s="64"/>
      <c r="R61" s="64"/>
      <c r="S61" s="64"/>
      <c r="T61" s="83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3"/>
      <c r="AY61" s="83"/>
      <c r="AZ61" s="83"/>
      <c r="BA61" s="83"/>
      <c r="BB61" s="83"/>
      <c r="BC61" s="83"/>
      <c r="BD61" s="83"/>
      <c r="BE61" s="83"/>
      <c r="BF61" s="83"/>
      <c r="BG61" s="83"/>
      <c r="BH61" s="83"/>
      <c r="BI61" s="83"/>
      <c r="BJ61" s="83"/>
      <c r="BK61" s="83"/>
      <c r="BL61" s="83"/>
      <c r="BM61" s="83"/>
      <c r="BN61" s="83"/>
      <c r="BO61" s="83"/>
      <c r="BP61" s="83"/>
      <c r="BQ61" s="83"/>
      <c r="BR61" s="83"/>
      <c r="BS61" s="83"/>
      <c r="BT61" s="83"/>
      <c r="BU61" s="83"/>
      <c r="BV61" s="83"/>
      <c r="BW61" s="83"/>
      <c r="BX61" s="83"/>
      <c r="BY61" s="83"/>
      <c r="BZ61" s="83"/>
      <c r="CA61" s="83"/>
      <c r="CB61" s="83"/>
      <c r="CC61" s="83"/>
    </row>
    <row r="62" spans="1:81" ht="15" customHeight="1" x14ac:dyDescent="0.25">
      <c r="A62" s="20"/>
      <c r="B62" s="27"/>
      <c r="C62" s="81"/>
      <c r="D62" s="81"/>
      <c r="E62" s="81"/>
      <c r="F62" s="81"/>
      <c r="G62" s="81"/>
      <c r="H62" s="80"/>
      <c r="I62" s="81"/>
      <c r="J62" s="82"/>
      <c r="K62" s="82"/>
      <c r="L62" s="64"/>
      <c r="M62" s="64"/>
      <c r="N62" s="64"/>
      <c r="O62" s="64"/>
      <c r="P62" s="64"/>
      <c r="Q62" s="64"/>
      <c r="R62" s="64"/>
      <c r="S62" s="64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83"/>
      <c r="BI62" s="83"/>
      <c r="BJ62" s="83"/>
      <c r="BK62" s="83"/>
      <c r="BL62" s="83"/>
      <c r="BM62" s="83"/>
      <c r="BN62" s="83"/>
      <c r="BO62" s="83"/>
      <c r="BP62" s="83"/>
      <c r="BQ62" s="83"/>
      <c r="BR62" s="83"/>
      <c r="BS62" s="83"/>
      <c r="BT62" s="83"/>
      <c r="BU62" s="83"/>
      <c r="BV62" s="83"/>
      <c r="BW62" s="83"/>
      <c r="BX62" s="83"/>
      <c r="BY62" s="83"/>
      <c r="BZ62" s="83"/>
      <c r="CA62" s="83"/>
      <c r="CB62" s="83"/>
      <c r="CC62" s="83"/>
    </row>
    <row r="63" spans="1:81" ht="15" customHeight="1" x14ac:dyDescent="0.25">
      <c r="A63" s="20"/>
      <c r="B63" s="27"/>
      <c r="C63" s="104"/>
      <c r="D63" s="81"/>
      <c r="E63" s="81"/>
      <c r="F63" s="81"/>
      <c r="G63" s="81"/>
      <c r="H63" s="80"/>
      <c r="I63" s="81"/>
      <c r="J63" s="82"/>
      <c r="K63" s="82"/>
      <c r="L63" s="64"/>
      <c r="M63" s="64"/>
      <c r="N63" s="64"/>
      <c r="O63" s="64"/>
      <c r="P63" s="64"/>
      <c r="Q63" s="64"/>
      <c r="R63" s="64"/>
      <c r="S63" s="64"/>
      <c r="T63" s="83"/>
      <c r="U63" s="83"/>
      <c r="V63" s="83"/>
      <c r="W63" s="83"/>
      <c r="X63" s="83"/>
      <c r="Y63" s="83"/>
      <c r="Z63" s="83"/>
      <c r="AA63" s="83"/>
      <c r="AB63" s="83"/>
      <c r="AC63" s="83"/>
      <c r="AD63" s="83"/>
      <c r="AE63" s="83"/>
      <c r="AF63" s="83"/>
      <c r="AG63" s="83"/>
      <c r="AH63" s="83"/>
      <c r="AI63" s="83"/>
      <c r="AJ63" s="83"/>
      <c r="AK63" s="83"/>
      <c r="AL63" s="83"/>
      <c r="AM63" s="83"/>
      <c r="AN63" s="83"/>
      <c r="AO63" s="83"/>
      <c r="AP63" s="83"/>
      <c r="AQ63" s="83"/>
      <c r="AR63" s="83"/>
      <c r="AS63" s="83"/>
      <c r="AT63" s="83"/>
      <c r="AU63" s="83"/>
      <c r="AV63" s="83"/>
      <c r="AW63" s="83"/>
      <c r="AX63" s="83"/>
      <c r="AY63" s="83"/>
      <c r="AZ63" s="83"/>
      <c r="BA63" s="83"/>
      <c r="BB63" s="83"/>
      <c r="BC63" s="83"/>
      <c r="BD63" s="83"/>
      <c r="BE63" s="83"/>
      <c r="BF63" s="83"/>
      <c r="BG63" s="83"/>
      <c r="BH63" s="83"/>
      <c r="BI63" s="83"/>
      <c r="BJ63" s="83"/>
      <c r="BK63" s="83"/>
      <c r="BL63" s="83"/>
      <c r="BM63" s="83"/>
      <c r="BN63" s="83"/>
      <c r="BO63" s="83"/>
      <c r="BP63" s="83"/>
      <c r="BQ63" s="83"/>
      <c r="BR63" s="83"/>
      <c r="BS63" s="83"/>
      <c r="BT63" s="83"/>
      <c r="BU63" s="83"/>
      <c r="BV63" s="83"/>
      <c r="BW63" s="83"/>
      <c r="BX63" s="83"/>
      <c r="BY63" s="83"/>
      <c r="BZ63" s="83"/>
      <c r="CA63" s="83"/>
      <c r="CB63" s="83"/>
      <c r="CC63" s="83"/>
    </row>
    <row r="64" spans="1:81" ht="15" customHeight="1" x14ac:dyDescent="0.25">
      <c r="A64" s="20"/>
      <c r="B64" s="27"/>
      <c r="C64" s="104"/>
      <c r="D64" s="81"/>
      <c r="E64" s="81"/>
      <c r="F64" s="81"/>
      <c r="G64" s="81"/>
      <c r="H64" s="80"/>
      <c r="I64" s="81"/>
      <c r="J64" s="82"/>
      <c r="K64" s="82"/>
      <c r="L64" s="64"/>
      <c r="M64" s="64"/>
      <c r="N64" s="64"/>
      <c r="O64" s="64"/>
      <c r="P64" s="64"/>
      <c r="Q64" s="64"/>
      <c r="R64" s="64"/>
      <c r="S64" s="64"/>
      <c r="T64" s="83"/>
      <c r="U64" s="83"/>
      <c r="V64" s="83"/>
      <c r="W64" s="83"/>
      <c r="X64" s="83"/>
      <c r="Y64" s="83"/>
      <c r="Z64" s="83"/>
      <c r="AA64" s="83"/>
      <c r="AB64" s="83"/>
      <c r="AC64" s="83"/>
      <c r="AD64" s="83"/>
      <c r="AE64" s="83"/>
      <c r="AF64" s="83"/>
      <c r="AG64" s="83"/>
      <c r="AH64" s="83"/>
      <c r="AI64" s="83"/>
      <c r="AJ64" s="83"/>
      <c r="AK64" s="83"/>
      <c r="AL64" s="83"/>
      <c r="AM64" s="83"/>
      <c r="AN64" s="83"/>
      <c r="AO64" s="83"/>
      <c r="AP64" s="83"/>
      <c r="AQ64" s="83"/>
      <c r="AR64" s="83"/>
      <c r="AS64" s="83"/>
      <c r="AT64" s="83"/>
      <c r="AU64" s="83"/>
      <c r="AV64" s="83"/>
      <c r="AW64" s="83"/>
      <c r="AX64" s="83"/>
      <c r="AY64" s="83"/>
      <c r="AZ64" s="83"/>
      <c r="BA64" s="83"/>
      <c r="BB64" s="83"/>
      <c r="BC64" s="83"/>
      <c r="BD64" s="83"/>
      <c r="BE64" s="83"/>
      <c r="BF64" s="83"/>
      <c r="BG64" s="83"/>
      <c r="BH64" s="83"/>
      <c r="BI64" s="83"/>
      <c r="BJ64" s="83"/>
      <c r="BK64" s="83"/>
      <c r="BL64" s="83"/>
      <c r="BM64" s="83"/>
      <c r="BN64" s="83"/>
      <c r="BO64" s="83"/>
      <c r="BP64" s="83"/>
      <c r="BQ64" s="83"/>
      <c r="BR64" s="83"/>
      <c r="BS64" s="83"/>
      <c r="BT64" s="83"/>
      <c r="BU64" s="83"/>
      <c r="BV64" s="83"/>
      <c r="BW64" s="83"/>
      <c r="BX64" s="83"/>
      <c r="BY64" s="83"/>
      <c r="BZ64" s="83"/>
      <c r="CA64" s="83"/>
      <c r="CB64" s="83"/>
      <c r="CC64" s="83"/>
    </row>
    <row r="65" spans="1:81" ht="15" customHeight="1" x14ac:dyDescent="0.25">
      <c r="A65" s="20"/>
      <c r="B65" s="27"/>
      <c r="C65" s="81"/>
      <c r="D65" s="81"/>
      <c r="E65" s="81"/>
      <c r="F65" s="81"/>
      <c r="G65" s="81"/>
      <c r="H65" s="80"/>
      <c r="I65" s="81"/>
      <c r="J65" s="82"/>
      <c r="K65" s="82"/>
      <c r="L65" s="64"/>
      <c r="M65" s="64"/>
      <c r="N65" s="64"/>
      <c r="O65" s="64"/>
      <c r="P65" s="64"/>
      <c r="Q65" s="64"/>
      <c r="R65" s="64"/>
      <c r="S65" s="64"/>
      <c r="T65" s="83"/>
      <c r="U65" s="83"/>
      <c r="V65" s="83"/>
      <c r="W65" s="83"/>
      <c r="X65" s="83"/>
      <c r="Y65" s="83"/>
      <c r="Z65" s="83"/>
      <c r="AA65" s="83"/>
      <c r="AB65" s="83"/>
      <c r="AC65" s="83"/>
      <c r="AD65" s="83"/>
      <c r="AE65" s="83"/>
      <c r="AF65" s="83"/>
      <c r="AG65" s="83"/>
      <c r="AH65" s="83"/>
      <c r="AI65" s="83"/>
      <c r="AJ65" s="83"/>
      <c r="AK65" s="83"/>
      <c r="AL65" s="83"/>
      <c r="AM65" s="83"/>
      <c r="AN65" s="83"/>
      <c r="AO65" s="83"/>
      <c r="AP65" s="83"/>
      <c r="AQ65" s="83"/>
      <c r="AR65" s="83"/>
      <c r="AS65" s="83"/>
      <c r="AT65" s="83"/>
      <c r="AU65" s="83"/>
      <c r="AV65" s="83"/>
      <c r="AW65" s="83"/>
      <c r="AX65" s="83"/>
      <c r="AY65" s="83"/>
      <c r="AZ65" s="83"/>
      <c r="BA65" s="83"/>
      <c r="BB65" s="83"/>
      <c r="BC65" s="83"/>
      <c r="BD65" s="83"/>
      <c r="BE65" s="83"/>
      <c r="BF65" s="83"/>
      <c r="BG65" s="83"/>
      <c r="BH65" s="83"/>
      <c r="BI65" s="83"/>
      <c r="BJ65" s="83"/>
      <c r="BK65" s="83"/>
      <c r="BL65" s="83"/>
      <c r="BM65" s="83"/>
      <c r="BN65" s="83"/>
      <c r="BO65" s="83"/>
      <c r="BP65" s="83"/>
      <c r="BQ65" s="83"/>
      <c r="BR65" s="83"/>
      <c r="BS65" s="83"/>
      <c r="BT65" s="83"/>
      <c r="BU65" s="83"/>
      <c r="BV65" s="83"/>
      <c r="BW65" s="83"/>
      <c r="BX65" s="83"/>
      <c r="BY65" s="83"/>
      <c r="BZ65" s="83"/>
      <c r="CA65" s="83"/>
      <c r="CB65" s="83"/>
      <c r="CC65" s="83"/>
    </row>
    <row r="66" spans="1:81" ht="15" customHeight="1" x14ac:dyDescent="0.25">
      <c r="A66" s="20"/>
      <c r="B66" s="27"/>
      <c r="C66" s="81"/>
      <c r="D66" s="81"/>
      <c r="E66" s="81"/>
      <c r="F66" s="81"/>
      <c r="G66" s="81"/>
      <c r="H66" s="49"/>
      <c r="I66" s="20"/>
      <c r="J66" s="13"/>
      <c r="K66" s="13"/>
      <c r="L66" s="64"/>
      <c r="M66" s="64"/>
      <c r="N66" s="64"/>
      <c r="O66" s="64"/>
      <c r="P66" s="64"/>
      <c r="Q66" s="64"/>
      <c r="R66" s="64"/>
      <c r="S66" s="64"/>
    </row>
    <row r="67" spans="1:81" ht="15" customHeight="1" x14ac:dyDescent="0.25">
      <c r="A67" s="20"/>
      <c r="B67" s="27"/>
      <c r="C67" s="81"/>
      <c r="D67" s="81"/>
      <c r="E67" s="81"/>
      <c r="F67" s="81"/>
      <c r="G67" s="81"/>
      <c r="H67" s="49"/>
      <c r="I67" s="20"/>
      <c r="J67" s="13"/>
      <c r="K67" s="13"/>
      <c r="L67" s="64"/>
      <c r="M67" s="64"/>
      <c r="N67" s="64"/>
      <c r="O67" s="64"/>
      <c r="P67" s="64"/>
      <c r="Q67" s="64"/>
      <c r="R67" s="64"/>
      <c r="S67" s="64"/>
    </row>
    <row r="68" spans="1:81" ht="15" customHeight="1" x14ac:dyDescent="0.25">
      <c r="A68" s="20"/>
      <c r="B68" s="27"/>
      <c r="C68" s="81"/>
      <c r="D68" s="81"/>
      <c r="E68" s="81"/>
      <c r="F68" s="81"/>
      <c r="G68" s="81"/>
      <c r="H68" s="49"/>
      <c r="I68" s="20"/>
      <c r="J68" s="13"/>
      <c r="K68" s="13"/>
      <c r="L68" s="64"/>
      <c r="M68" s="64"/>
      <c r="N68" s="64"/>
      <c r="O68" s="64"/>
      <c r="P68" s="64"/>
      <c r="Q68" s="64"/>
      <c r="R68" s="64"/>
      <c r="S68" s="64"/>
    </row>
    <row r="69" spans="1:81" ht="15" customHeight="1" x14ac:dyDescent="0.25">
      <c r="A69" s="20"/>
      <c r="B69" s="27"/>
      <c r="C69" s="55"/>
      <c r="D69" s="56"/>
      <c r="E69" s="28"/>
      <c r="F69" s="53"/>
      <c r="G69" s="57"/>
      <c r="H69" s="49"/>
      <c r="I69" s="20"/>
      <c r="J69" s="13"/>
      <c r="K69" s="13"/>
      <c r="L69" s="65"/>
      <c r="M69" s="65"/>
      <c r="N69" s="65"/>
      <c r="O69" s="65"/>
      <c r="P69" s="65"/>
      <c r="Q69" s="64"/>
      <c r="R69" s="64"/>
      <c r="S69" s="64"/>
    </row>
    <row r="70" spans="1:81" ht="15" customHeight="1" x14ac:dyDescent="0.25">
      <c r="A70" s="20"/>
      <c r="B70" s="27"/>
      <c r="C70" s="55"/>
      <c r="D70" s="56"/>
      <c r="E70" s="28"/>
      <c r="F70" s="53"/>
      <c r="G70" s="57"/>
      <c r="H70" s="49"/>
      <c r="I70" s="20"/>
      <c r="J70" s="13"/>
      <c r="K70" s="13"/>
      <c r="L70" s="65"/>
      <c r="M70" s="65"/>
      <c r="N70" s="65"/>
      <c r="O70" s="65"/>
      <c r="P70" s="65"/>
      <c r="Q70" s="64"/>
      <c r="R70" s="64"/>
      <c r="S70" s="64"/>
    </row>
    <row r="71" spans="1:81" ht="15" customHeight="1" x14ac:dyDescent="0.25">
      <c r="A71" s="20"/>
      <c r="B71" s="27"/>
      <c r="C71" s="85"/>
      <c r="D71" s="56"/>
      <c r="E71" s="28"/>
      <c r="F71" s="53"/>
      <c r="G71" s="57"/>
      <c r="H71" s="58"/>
      <c r="I71" s="20"/>
      <c r="J71" s="13"/>
      <c r="K71" s="13"/>
      <c r="L71" s="65"/>
      <c r="M71" s="65"/>
      <c r="N71" s="65"/>
      <c r="O71" s="65"/>
      <c r="P71" s="65"/>
      <c r="Q71" s="64"/>
      <c r="R71" s="64"/>
      <c r="S71" s="64"/>
    </row>
    <row r="72" spans="1:81" ht="15" customHeight="1" x14ac:dyDescent="0.25">
      <c r="A72" s="20"/>
      <c r="B72" s="27"/>
      <c r="C72" s="20"/>
      <c r="D72" s="20"/>
      <c r="E72" s="45"/>
      <c r="F72" s="53"/>
      <c r="G72" s="57"/>
      <c r="H72" s="58"/>
      <c r="I72" s="20"/>
      <c r="J72" s="13"/>
      <c r="K72" s="13"/>
      <c r="L72" s="65"/>
      <c r="M72" s="65"/>
      <c r="N72" s="65"/>
      <c r="O72" s="65"/>
      <c r="P72" s="65"/>
      <c r="Q72" s="64"/>
      <c r="R72" s="64"/>
      <c r="S72" s="64"/>
    </row>
    <row r="73" spans="1:81" ht="15" customHeight="1" x14ac:dyDescent="0.25">
      <c r="A73" s="20"/>
      <c r="B73" s="27"/>
      <c r="C73" s="20"/>
      <c r="D73" s="20"/>
      <c r="E73" s="59"/>
      <c r="F73" s="37"/>
      <c r="G73" s="57"/>
      <c r="H73" s="58"/>
      <c r="I73" s="20"/>
      <c r="J73" s="13"/>
      <c r="K73" s="13"/>
      <c r="L73" s="65"/>
      <c r="M73" s="65"/>
      <c r="N73" s="65"/>
      <c r="O73" s="65"/>
      <c r="P73" s="65"/>
      <c r="Q73" s="64"/>
      <c r="R73" s="64"/>
      <c r="S73" s="64"/>
    </row>
    <row r="74" spans="1:81" ht="15" customHeight="1" x14ac:dyDescent="0.25">
      <c r="A74" s="20"/>
      <c r="B74" s="27"/>
      <c r="C74" s="46"/>
      <c r="D74" s="20"/>
      <c r="E74" s="28"/>
      <c r="F74" s="20"/>
      <c r="G74" s="20"/>
      <c r="H74" s="49"/>
      <c r="I74" s="20"/>
      <c r="J74" s="13"/>
      <c r="K74" s="13"/>
      <c r="L74" s="65"/>
      <c r="M74" s="65"/>
      <c r="N74" s="65"/>
      <c r="O74" s="65"/>
      <c r="P74" s="65"/>
      <c r="Q74" s="64"/>
      <c r="R74" s="64"/>
      <c r="S74" s="64"/>
    </row>
    <row r="75" spans="1:81" ht="15" customHeight="1" x14ac:dyDescent="0.25">
      <c r="A75" s="20"/>
      <c r="B75" s="27"/>
      <c r="C75" s="20"/>
      <c r="D75" s="20"/>
      <c r="E75" s="53"/>
      <c r="F75" s="53"/>
      <c r="G75" s="53"/>
      <c r="H75" s="49"/>
      <c r="I75" s="20"/>
      <c r="J75" s="13"/>
      <c r="K75" s="13"/>
      <c r="L75" s="64"/>
      <c r="M75" s="64"/>
      <c r="N75" s="64"/>
      <c r="O75" s="64"/>
      <c r="P75" s="64"/>
      <c r="Q75" s="64"/>
      <c r="R75" s="64"/>
      <c r="S75" s="64"/>
    </row>
    <row r="76" spans="1:81" ht="15" customHeight="1" x14ac:dyDescent="0.25">
      <c r="A76" s="20"/>
      <c r="B76" s="27"/>
      <c r="C76" s="46" t="s">
        <v>0</v>
      </c>
      <c r="D76" s="20"/>
      <c r="E76" s="28"/>
      <c r="F76" s="53"/>
      <c r="G76" s="53"/>
      <c r="H76" s="25"/>
      <c r="I76" s="20"/>
      <c r="J76" s="13"/>
      <c r="K76" s="13"/>
      <c r="L76" s="64"/>
      <c r="M76" s="66"/>
      <c r="N76" s="64"/>
      <c r="O76" s="64"/>
      <c r="P76" s="64"/>
      <c r="Q76" s="64"/>
      <c r="R76" s="64"/>
      <c r="S76" s="64"/>
    </row>
    <row r="77" spans="1:81" ht="15" customHeight="1" x14ac:dyDescent="0.25">
      <c r="A77" s="20"/>
      <c r="B77" s="27"/>
      <c r="C77" s="46" t="str">
        <f>Nabídka!Q7</f>
        <v>Michal Kopl, Kopl Pro</v>
      </c>
      <c r="D77" s="20"/>
      <c r="E77" s="28"/>
      <c r="F77" s="53"/>
      <c r="G77" s="53"/>
      <c r="H77" s="25"/>
      <c r="I77" s="20"/>
      <c r="J77" s="13"/>
      <c r="K77" s="13"/>
      <c r="L77" s="67"/>
      <c r="M77" s="64"/>
      <c r="N77" s="64"/>
      <c r="O77" s="64"/>
      <c r="P77" s="64"/>
      <c r="Q77" s="64"/>
      <c r="R77" s="64"/>
      <c r="S77" s="64"/>
    </row>
    <row r="78" spans="1:81" ht="15" customHeight="1" x14ac:dyDescent="0.25">
      <c r="A78" s="20"/>
      <c r="B78" s="27"/>
      <c r="C78" s="60" t="str">
        <f>Nabídka!Q10</f>
        <v>+420 777 062 425</v>
      </c>
      <c r="D78" s="20"/>
      <c r="E78" s="28"/>
      <c r="F78" s="31"/>
      <c r="G78" s="31"/>
      <c r="H78" s="25"/>
      <c r="I78" s="20"/>
      <c r="J78" s="13"/>
      <c r="K78" s="13"/>
      <c r="L78" s="64"/>
      <c r="M78" s="64"/>
      <c r="N78" s="64"/>
      <c r="O78" s="64"/>
      <c r="P78" s="64"/>
      <c r="Q78" s="64"/>
      <c r="R78" s="64"/>
      <c r="S78" s="64"/>
    </row>
    <row r="79" spans="1:81" ht="15" customHeight="1" x14ac:dyDescent="0.25">
      <c r="A79" s="20"/>
      <c r="B79" s="27"/>
      <c r="C79" s="8" t="str">
        <f>Nabídka!Q11</f>
        <v>michal@kopl.pro</v>
      </c>
      <c r="D79" s="20"/>
      <c r="E79" s="28"/>
      <c r="F79" s="31"/>
      <c r="G79" s="20"/>
      <c r="H79" s="25"/>
      <c r="I79" s="20"/>
      <c r="J79" s="13"/>
      <c r="K79" s="13"/>
      <c r="L79" s="64"/>
      <c r="M79" s="64"/>
      <c r="N79" s="64"/>
      <c r="O79" s="64"/>
      <c r="P79" s="64"/>
      <c r="Q79" s="64"/>
      <c r="R79" s="64"/>
      <c r="S79" s="64"/>
    </row>
    <row r="80" spans="1:81" ht="15" customHeight="1" thickBot="1" x14ac:dyDescent="0.3">
      <c r="A80" s="20"/>
      <c r="B80" s="30"/>
      <c r="C80" s="61"/>
      <c r="D80" s="61"/>
      <c r="E80" s="62"/>
      <c r="F80" s="63"/>
      <c r="G80" s="61"/>
      <c r="H80" s="26"/>
      <c r="I80" s="20"/>
      <c r="J80" s="13"/>
      <c r="K80" s="13"/>
      <c r="L80" s="64"/>
      <c r="M80" s="64"/>
      <c r="N80" s="64"/>
      <c r="O80" s="64"/>
      <c r="P80" s="64"/>
      <c r="Q80" s="64"/>
      <c r="R80" s="64"/>
      <c r="S80" s="64"/>
    </row>
    <row r="81" spans="1:19" ht="15" customHeight="1" thickTop="1" thickBot="1" x14ac:dyDescent="0.3">
      <c r="A81" s="20"/>
      <c r="B81" s="20"/>
      <c r="C81" s="20"/>
      <c r="D81" s="20"/>
      <c r="E81" s="28"/>
      <c r="F81" s="31"/>
      <c r="G81" s="31"/>
      <c r="H81" s="20"/>
      <c r="I81" s="20"/>
      <c r="J81" s="15"/>
      <c r="K81" s="13"/>
      <c r="L81" s="64"/>
      <c r="M81" s="64"/>
      <c r="N81" s="64"/>
      <c r="O81" s="64"/>
      <c r="P81" s="64"/>
      <c r="Q81" s="64"/>
      <c r="R81" s="64"/>
      <c r="S81" s="64"/>
    </row>
    <row r="82" spans="1:19" ht="15" thickTop="1" x14ac:dyDescent="0.25">
      <c r="I82" s="2"/>
      <c r="J82" s="13"/>
      <c r="K82" s="13"/>
      <c r="L82" s="64"/>
      <c r="M82" s="64"/>
      <c r="N82" s="64"/>
      <c r="O82" s="64"/>
      <c r="P82" s="64"/>
      <c r="Q82" s="64"/>
      <c r="R82" s="64"/>
      <c r="S82" s="64"/>
    </row>
    <row r="83" spans="1:19" x14ac:dyDescent="0.25">
      <c r="F83" s="3"/>
      <c r="G83" s="3"/>
      <c r="J83" s="13"/>
      <c r="K83" s="13"/>
      <c r="L83" s="64"/>
      <c r="M83" s="64"/>
      <c r="N83" s="64"/>
      <c r="O83" s="64"/>
      <c r="P83" s="64"/>
      <c r="Q83" s="64"/>
      <c r="R83" s="64"/>
      <c r="S83" s="64"/>
    </row>
    <row r="84" spans="1:19" x14ac:dyDescent="0.25">
      <c r="J84" s="13"/>
      <c r="K84" s="13"/>
      <c r="L84" s="13" t="s">
        <v>30</v>
      </c>
      <c r="M84" s="13"/>
      <c r="N84" s="13"/>
      <c r="O84" s="13"/>
      <c r="P84" s="13"/>
      <c r="Q84" s="13"/>
      <c r="R84" s="13"/>
      <c r="S84" s="13"/>
    </row>
    <row r="85" spans="1:19" x14ac:dyDescent="0.25">
      <c r="J85" s="13"/>
      <c r="K85" s="13"/>
      <c r="L85" s="13" t="s">
        <v>31</v>
      </c>
      <c r="M85" s="13"/>
      <c r="N85" s="13"/>
      <c r="O85" s="13"/>
      <c r="P85" s="13"/>
      <c r="Q85" s="13"/>
      <c r="R85" s="13"/>
      <c r="S85" s="13"/>
    </row>
    <row r="86" spans="1:19" x14ac:dyDescent="0.25">
      <c r="J86" s="13"/>
      <c r="K86" s="13"/>
      <c r="L86" s="13"/>
      <c r="M86" s="13"/>
      <c r="N86" s="13"/>
      <c r="O86" s="13"/>
      <c r="P86" s="13"/>
      <c r="Q86" s="13"/>
      <c r="R86" s="13"/>
      <c r="S86" s="13"/>
    </row>
    <row r="87" spans="1:19" x14ac:dyDescent="0.25">
      <c r="J87" s="13"/>
      <c r="K87" s="13"/>
      <c r="L87" s="13"/>
      <c r="M87" s="13"/>
      <c r="N87" s="13"/>
      <c r="O87" s="13"/>
      <c r="P87" s="13"/>
      <c r="Q87" s="13"/>
      <c r="R87" s="13"/>
      <c r="S87" s="13"/>
    </row>
    <row r="88" spans="1:19" ht="15" x14ac:dyDescent="0.25">
      <c r="C88" s="68"/>
      <c r="J88" s="13"/>
      <c r="K88" s="13"/>
      <c r="L88" s="13"/>
      <c r="M88" s="13"/>
      <c r="N88" s="13"/>
      <c r="O88" s="13"/>
      <c r="P88" s="13"/>
      <c r="Q88" s="13"/>
      <c r="R88" s="13"/>
      <c r="S88" s="13"/>
    </row>
    <row r="89" spans="1:19" x14ac:dyDescent="0.25">
      <c r="J89" s="13"/>
      <c r="K89" s="13"/>
      <c r="L89" s="13"/>
      <c r="M89" s="13"/>
      <c r="N89" s="13"/>
      <c r="O89" s="13"/>
      <c r="P89" s="13"/>
      <c r="Q89" s="13"/>
      <c r="R89" s="13"/>
      <c r="S89" s="13"/>
    </row>
    <row r="90" spans="1:19" x14ac:dyDescent="0.25">
      <c r="J90" s="13"/>
      <c r="K90" s="13"/>
      <c r="L90" s="13"/>
      <c r="M90" s="13"/>
      <c r="N90" s="13"/>
      <c r="O90" s="13"/>
      <c r="P90" s="13"/>
      <c r="Q90" s="13"/>
      <c r="R90" s="13"/>
      <c r="S90" s="13"/>
    </row>
    <row r="91" spans="1:19" x14ac:dyDescent="0.25">
      <c r="J91" s="13"/>
      <c r="K91" s="13"/>
      <c r="L91" s="13"/>
      <c r="M91" s="13"/>
      <c r="N91" s="13"/>
      <c r="O91" s="13"/>
      <c r="P91" s="13"/>
      <c r="Q91" s="13"/>
      <c r="R91" s="13"/>
      <c r="S91" s="13"/>
    </row>
    <row r="92" spans="1:19" x14ac:dyDescent="0.25">
      <c r="J92" s="13"/>
      <c r="K92" s="13"/>
      <c r="L92" s="13"/>
      <c r="M92" s="13"/>
      <c r="N92" s="13"/>
      <c r="O92" s="13"/>
      <c r="P92" s="13"/>
      <c r="Q92" s="13"/>
      <c r="R92" s="13"/>
      <c r="S92" s="13"/>
    </row>
    <row r="93" spans="1:19" x14ac:dyDescent="0.25">
      <c r="J93" s="13"/>
      <c r="K93" s="13"/>
      <c r="L93" s="13"/>
      <c r="M93" s="13"/>
      <c r="N93" s="13"/>
      <c r="O93" s="13"/>
      <c r="P93" s="13"/>
      <c r="Q93" s="13"/>
      <c r="R93" s="13"/>
      <c r="S93" s="13"/>
    </row>
    <row r="94" spans="1:19" x14ac:dyDescent="0.25">
      <c r="J94" s="13"/>
      <c r="K94" s="13"/>
      <c r="L94" s="13"/>
      <c r="M94" s="13"/>
      <c r="N94" s="13"/>
      <c r="O94" s="13"/>
      <c r="P94" s="13"/>
      <c r="Q94" s="13"/>
      <c r="R94" s="13"/>
      <c r="S94" s="13"/>
    </row>
    <row r="95" spans="1:19" ht="15" x14ac:dyDescent="0.25">
      <c r="D95" s="4"/>
      <c r="J95" s="13"/>
      <c r="K95" s="13"/>
      <c r="L95" s="13"/>
      <c r="M95" s="13"/>
      <c r="N95" s="13"/>
      <c r="O95" s="13"/>
      <c r="P95" s="13"/>
      <c r="Q95" s="13"/>
      <c r="R95" s="13"/>
      <c r="S95" s="13"/>
    </row>
    <row r="96" spans="1:19" x14ac:dyDescent="0.25">
      <c r="J96" s="13"/>
      <c r="K96" s="13"/>
      <c r="L96" s="13"/>
      <c r="M96" s="13"/>
      <c r="N96" s="13"/>
      <c r="O96" s="13"/>
      <c r="P96" s="13"/>
      <c r="Q96" s="13"/>
      <c r="R96" s="13"/>
      <c r="S96" s="13"/>
    </row>
    <row r="97" spans="10:19" x14ac:dyDescent="0.25">
      <c r="J97" s="13"/>
      <c r="K97" s="13"/>
      <c r="L97" s="13"/>
      <c r="M97" s="13"/>
      <c r="N97" s="13"/>
      <c r="O97" s="13"/>
      <c r="P97" s="13"/>
      <c r="Q97" s="13"/>
      <c r="R97" s="13"/>
      <c r="S97" s="13"/>
    </row>
    <row r="98" spans="10:19" x14ac:dyDescent="0.25">
      <c r="J98" s="13"/>
      <c r="K98" s="13"/>
      <c r="L98" s="13"/>
      <c r="M98" s="13"/>
      <c r="N98" s="13"/>
      <c r="O98" s="13"/>
      <c r="P98" s="13"/>
      <c r="Q98" s="13"/>
      <c r="R98" s="13"/>
      <c r="S98" s="13"/>
    </row>
    <row r="99" spans="10:19" x14ac:dyDescent="0.25">
      <c r="J99" s="13"/>
      <c r="K99" s="13"/>
      <c r="L99" s="13"/>
      <c r="M99" s="13"/>
      <c r="N99" s="13"/>
      <c r="O99" s="13"/>
      <c r="P99" s="13"/>
      <c r="Q99" s="13"/>
      <c r="R99" s="13"/>
      <c r="S99" s="13"/>
    </row>
    <row r="100" spans="10:19" x14ac:dyDescent="0.25">
      <c r="J100" s="13"/>
      <c r="K100" s="13"/>
      <c r="L100" s="13"/>
      <c r="M100" s="13"/>
      <c r="N100" s="13"/>
      <c r="O100" s="13"/>
      <c r="P100" s="13"/>
      <c r="Q100" s="13"/>
      <c r="R100" s="13"/>
      <c r="S100" s="13"/>
    </row>
    <row r="101" spans="10:19" x14ac:dyDescent="0.25">
      <c r="J101" s="13"/>
      <c r="K101" s="13"/>
      <c r="L101" s="13"/>
      <c r="M101" s="13"/>
      <c r="N101" s="13"/>
      <c r="O101" s="13"/>
      <c r="P101" s="13"/>
      <c r="Q101" s="13"/>
      <c r="R101" s="13"/>
      <c r="S101" s="13"/>
    </row>
    <row r="102" spans="10:19" x14ac:dyDescent="0.25">
      <c r="J102" s="13"/>
      <c r="K102" s="13"/>
      <c r="L102" s="13"/>
      <c r="M102" s="13"/>
      <c r="N102" s="13"/>
      <c r="O102" s="13"/>
      <c r="P102" s="13"/>
      <c r="Q102" s="13"/>
      <c r="R102" s="13"/>
      <c r="S102" s="13"/>
    </row>
    <row r="103" spans="10:19" x14ac:dyDescent="0.25">
      <c r="J103" s="13"/>
      <c r="K103" s="13"/>
      <c r="L103" s="13"/>
      <c r="M103" s="13"/>
      <c r="N103" s="13"/>
      <c r="O103" s="13"/>
      <c r="P103" s="13"/>
      <c r="Q103" s="13"/>
      <c r="R103" s="13"/>
      <c r="S103" s="13"/>
    </row>
    <row r="104" spans="10:19" x14ac:dyDescent="0.25">
      <c r="J104" s="13"/>
      <c r="K104" s="13"/>
      <c r="L104" s="13"/>
      <c r="M104" s="13"/>
      <c r="N104" s="13"/>
      <c r="O104" s="13"/>
      <c r="P104" s="13"/>
      <c r="Q104" s="13"/>
      <c r="R104" s="13"/>
      <c r="S104" s="13"/>
    </row>
    <row r="105" spans="10:19" x14ac:dyDescent="0.25">
      <c r="J105" s="13"/>
      <c r="K105" s="13"/>
      <c r="L105" s="13"/>
      <c r="M105" s="13"/>
      <c r="N105" s="13"/>
      <c r="O105" s="13"/>
      <c r="P105" s="13"/>
      <c r="Q105" s="13"/>
      <c r="R105" s="13"/>
      <c r="S105" s="13"/>
    </row>
    <row r="106" spans="10:19" x14ac:dyDescent="0.25">
      <c r="J106" s="13"/>
      <c r="K106" s="13"/>
      <c r="L106" s="13"/>
      <c r="M106" s="13"/>
      <c r="N106" s="13"/>
      <c r="O106" s="13"/>
      <c r="P106" s="13"/>
      <c r="Q106" s="13"/>
      <c r="R106" s="13"/>
      <c r="S106" s="13"/>
    </row>
    <row r="107" spans="10:19" x14ac:dyDescent="0.25">
      <c r="J107" s="13"/>
      <c r="K107" s="13"/>
      <c r="L107" s="13"/>
      <c r="M107" s="13"/>
      <c r="N107" s="13"/>
      <c r="O107" s="13"/>
      <c r="P107" s="13"/>
      <c r="Q107" s="13"/>
      <c r="R107" s="13"/>
      <c r="S107" s="13"/>
    </row>
    <row r="108" spans="10:19" x14ac:dyDescent="0.25">
      <c r="J108" s="13"/>
      <c r="K108" s="13"/>
      <c r="L108" s="13"/>
      <c r="M108" s="13"/>
      <c r="N108" s="13"/>
      <c r="O108" s="13"/>
      <c r="P108" s="13"/>
      <c r="Q108" s="13"/>
      <c r="R108" s="13"/>
      <c r="S108" s="13"/>
    </row>
    <row r="109" spans="10:19" x14ac:dyDescent="0.25">
      <c r="J109" s="13"/>
      <c r="K109" s="13"/>
      <c r="L109" s="13"/>
      <c r="M109" s="13"/>
      <c r="N109" s="13"/>
      <c r="O109" s="13"/>
      <c r="P109" s="13"/>
      <c r="Q109" s="13"/>
      <c r="R109" s="13"/>
      <c r="S109" s="13"/>
    </row>
    <row r="110" spans="10:19" x14ac:dyDescent="0.25">
      <c r="J110" s="13"/>
      <c r="K110" s="13"/>
      <c r="L110" s="13"/>
      <c r="M110" s="13"/>
      <c r="N110" s="13"/>
      <c r="O110" s="13"/>
      <c r="P110" s="13"/>
      <c r="Q110" s="13"/>
      <c r="R110" s="13"/>
      <c r="S110" s="13"/>
    </row>
    <row r="111" spans="10:19" x14ac:dyDescent="0.25">
      <c r="J111" s="13"/>
      <c r="K111" s="13"/>
      <c r="L111" s="13"/>
      <c r="M111" s="13"/>
      <c r="N111" s="13"/>
      <c r="O111" s="13"/>
      <c r="P111" s="13"/>
      <c r="Q111" s="13"/>
      <c r="R111" s="13"/>
      <c r="S111" s="13"/>
    </row>
    <row r="112" spans="10:19" x14ac:dyDescent="0.25">
      <c r="J112" s="13"/>
      <c r="K112" s="13"/>
      <c r="L112" s="13"/>
      <c r="M112" s="13"/>
      <c r="N112" s="13"/>
      <c r="O112" s="13"/>
      <c r="P112" s="13"/>
      <c r="Q112" s="13"/>
      <c r="R112" s="13"/>
      <c r="S112" s="13"/>
    </row>
    <row r="113" spans="10:19" x14ac:dyDescent="0.25">
      <c r="J113" s="13"/>
      <c r="K113" s="13"/>
      <c r="L113" s="13"/>
      <c r="M113" s="13"/>
      <c r="N113" s="13"/>
      <c r="O113" s="13"/>
      <c r="P113" s="13"/>
      <c r="Q113" s="13"/>
      <c r="R113" s="13"/>
      <c r="S113" s="13"/>
    </row>
    <row r="114" spans="10:19" x14ac:dyDescent="0.25">
      <c r="J114" s="13"/>
      <c r="K114" s="13"/>
      <c r="L114" s="13"/>
      <c r="M114" s="13"/>
      <c r="N114" s="13"/>
      <c r="O114" s="13"/>
      <c r="P114" s="13"/>
      <c r="Q114" s="13"/>
      <c r="R114" s="13"/>
      <c r="S114" s="13"/>
    </row>
    <row r="115" spans="10:19" x14ac:dyDescent="0.25">
      <c r="J115" s="13"/>
      <c r="K115" s="13"/>
      <c r="L115" s="13"/>
      <c r="M115" s="13"/>
      <c r="N115" s="13"/>
      <c r="O115" s="13"/>
      <c r="P115" s="13"/>
      <c r="Q115" s="13"/>
      <c r="R115" s="13"/>
      <c r="S115" s="13"/>
    </row>
    <row r="116" spans="10:19" x14ac:dyDescent="0.25">
      <c r="J116" s="13"/>
      <c r="K116" s="13"/>
      <c r="L116" s="13"/>
      <c r="M116" s="13"/>
      <c r="N116" s="13"/>
      <c r="O116" s="13"/>
      <c r="P116" s="13"/>
      <c r="Q116" s="13"/>
      <c r="R116" s="13"/>
      <c r="S116" s="13"/>
    </row>
    <row r="117" spans="10:19" x14ac:dyDescent="0.25">
      <c r="J117" s="13"/>
      <c r="K117" s="13"/>
      <c r="L117" s="13"/>
      <c r="M117" s="13"/>
      <c r="N117" s="13"/>
      <c r="O117" s="13"/>
      <c r="P117" s="13"/>
      <c r="Q117" s="13"/>
      <c r="R117" s="13"/>
      <c r="S117" s="13"/>
    </row>
    <row r="118" spans="10:19" x14ac:dyDescent="0.25">
      <c r="J118" s="13"/>
      <c r="K118" s="13"/>
      <c r="L118" s="13"/>
      <c r="M118" s="13"/>
      <c r="N118" s="13"/>
      <c r="O118" s="13"/>
      <c r="P118" s="13"/>
      <c r="Q118" s="13"/>
      <c r="R118" s="13"/>
      <c r="S118" s="13"/>
    </row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</sheetData>
  <sheetProtection selectLockedCells="1"/>
  <protectedRanges>
    <protectedRange sqref="L16 L54:L55" name="Lhůta provedení"/>
    <protectedRange sqref="C47:F52 C20:F42" name="Materiál"/>
    <protectedRange sqref="C16:D16" name="StavbaTermín"/>
    <protectedRange sqref="G4" name="Podklad"/>
    <protectedRange sqref="D6:D10" name="Objednatel"/>
    <protectedRange sqref="C78" name="Telefon"/>
    <protectedRange sqref="C57:C58" name="StavebniPripravenost"/>
  </protectedRanges>
  <mergeCells count="35">
    <mergeCell ref="E53:F53"/>
    <mergeCell ref="B10:C10"/>
    <mergeCell ref="D10:G10"/>
    <mergeCell ref="L10:O10"/>
    <mergeCell ref="Q10:T10"/>
    <mergeCell ref="L11:O11"/>
    <mergeCell ref="Q11:T11"/>
    <mergeCell ref="Q12:T12"/>
    <mergeCell ref="Q13:T13"/>
    <mergeCell ref="Q14:T14"/>
    <mergeCell ref="O26:T33"/>
    <mergeCell ref="E43:F43"/>
    <mergeCell ref="B8:C8"/>
    <mergeCell ref="D8:G8"/>
    <mergeCell ref="L8:O8"/>
    <mergeCell ref="Q8:T8"/>
    <mergeCell ref="B9:C9"/>
    <mergeCell ref="D9:G9"/>
    <mergeCell ref="L9:O9"/>
    <mergeCell ref="Q9:T9"/>
    <mergeCell ref="B6:C6"/>
    <mergeCell ref="D6:G6"/>
    <mergeCell ref="L6:O6"/>
    <mergeCell ref="Q6:T6"/>
    <mergeCell ref="B7:C7"/>
    <mergeCell ref="D7:G7"/>
    <mergeCell ref="L7:O7"/>
    <mergeCell ref="Q7:T7"/>
    <mergeCell ref="B5:C5"/>
    <mergeCell ref="D5:G5"/>
    <mergeCell ref="L5:O5"/>
    <mergeCell ref="B2:D4"/>
    <mergeCell ref="E4:G4"/>
    <mergeCell ref="G2:G3"/>
    <mergeCell ref="E2:F3"/>
  </mergeCells>
  <hyperlinks>
    <hyperlink ref="C79" r:id="rId1" display="michal@kopl.pro" xr:uid="{335671C9-901B-431B-B030-239DE32B2227}"/>
  </hyperlinks>
  <printOptions horizontalCentered="1" verticalCentered="1"/>
  <pageMargins left="0.23622047244094491" right="0.23622047244094491" top="0.19685039370078741" bottom="0.19685039370078741" header="0.31496062992125984" footer="0.31496062992125984"/>
  <pageSetup paperSize="9" scale="11" orientation="portrait" r:id="rId2"/>
  <headerFooter alignWithMargins="0"/>
  <drawing r:id="rId3"/>
  <tableParts count="4"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46C5D-ADAB-42AE-98A3-057215BA7B09}">
  <sheetPr codeName="Sheet3">
    <pageSetUpPr fitToPage="1"/>
  </sheetPr>
  <dimension ref="A1:CC277"/>
  <sheetViews>
    <sheetView topLeftCell="A45" zoomScaleNormal="100" zoomScalePageLayoutView="25" workbookViewId="0">
      <selection activeCell="K75" sqref="K75"/>
    </sheetView>
  </sheetViews>
  <sheetFormatPr defaultColWidth="9.140625" defaultRowHeight="14.25" x14ac:dyDescent="0.25"/>
  <cols>
    <col min="1" max="2" width="3.28515625" style="1" customWidth="1"/>
    <col min="3" max="3" width="66" style="1" customWidth="1"/>
    <col min="4" max="4" width="16.42578125" style="1" bestFit="1" customWidth="1"/>
    <col min="5" max="5" width="22.28515625" style="1" bestFit="1" customWidth="1"/>
    <col min="6" max="6" width="21.140625" style="1" bestFit="1" customWidth="1"/>
    <col min="7" max="7" width="20" style="1" bestFit="1" customWidth="1"/>
    <col min="8" max="9" width="3.28515625" style="1" customWidth="1"/>
    <col min="10" max="10" width="9.140625" style="1"/>
    <col min="11" max="11" width="10.28515625" style="1" bestFit="1" customWidth="1"/>
    <col min="12" max="16" width="9.140625" style="1" customWidth="1"/>
    <col min="17" max="19" width="9.140625" style="1"/>
    <col min="20" max="20" width="9.140625" style="1" customWidth="1"/>
    <col min="21" max="25" width="9.140625" style="1"/>
    <col min="26" max="26" width="9.140625" style="1" customWidth="1"/>
    <col min="27" max="16384" width="9.140625" style="1"/>
  </cols>
  <sheetData>
    <row r="1" spans="1:32" ht="21" customHeight="1" thickBot="1" x14ac:dyDescent="0.3">
      <c r="A1" s="20"/>
      <c r="B1" s="20"/>
      <c r="C1" s="20"/>
      <c r="D1" s="20"/>
      <c r="E1" s="20"/>
      <c r="F1" s="20"/>
      <c r="G1" s="20"/>
      <c r="H1" s="20"/>
      <c r="I1" s="20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ht="21" customHeight="1" thickTop="1" x14ac:dyDescent="0.25">
      <c r="A2" s="20"/>
      <c r="B2" s="226" t="str">
        <f>"VYSTAVENÉ FAKTURY     "</f>
        <v xml:space="preserve">VYSTAVENÉ FAKTURY     </v>
      </c>
      <c r="C2" s="226"/>
      <c r="D2" s="227"/>
      <c r="E2" s="163" t="s">
        <v>36</v>
      </c>
      <c r="F2" s="164"/>
      <c r="G2" s="122">
        <f>MIN(G14:G79)</f>
        <v>45107</v>
      </c>
      <c r="H2" s="22"/>
      <c r="I2" s="20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ht="21" customHeight="1" x14ac:dyDescent="0.25">
      <c r="A3" s="20"/>
      <c r="B3" s="226"/>
      <c r="C3" s="226"/>
      <c r="D3" s="227"/>
      <c r="E3" s="161" t="s">
        <v>37</v>
      </c>
      <c r="F3" s="162"/>
      <c r="G3" s="123">
        <f>MAX(G14:G79)</f>
        <v>45125</v>
      </c>
      <c r="H3" s="25"/>
      <c r="I3" s="20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</row>
    <row r="4" spans="1:32" ht="15.75" customHeight="1" thickBot="1" x14ac:dyDescent="0.3">
      <c r="A4" s="20"/>
      <c r="B4" s="226"/>
      <c r="C4" s="226"/>
      <c r="D4" s="227"/>
      <c r="E4" s="224"/>
      <c r="F4" s="225"/>
      <c r="G4" s="225"/>
      <c r="H4" s="25"/>
      <c r="I4" s="20"/>
      <c r="J4" s="4"/>
      <c r="K4" s="4" t="s">
        <v>127</v>
      </c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2" s="150" customFormat="1" ht="16.5" customHeight="1" thickTop="1" x14ac:dyDescent="0.25">
      <c r="A5" s="148"/>
      <c r="B5" s="175" t="str">
        <f>"      Dodavatel:"</f>
        <v xml:space="preserve">      Dodavatel:</v>
      </c>
      <c r="C5" s="176"/>
      <c r="D5" s="158"/>
      <c r="E5" s="158"/>
      <c r="F5" s="158"/>
      <c r="G5" s="158"/>
      <c r="H5" s="149"/>
      <c r="I5" s="148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</row>
    <row r="6" spans="1:32" ht="15" customHeight="1" x14ac:dyDescent="0.25">
      <c r="A6" s="20"/>
      <c r="B6" s="187" t="str">
        <f>"      "&amp;Nabídka!Q7</f>
        <v xml:space="preserve">      Michal Kopl, Kopl Pro</v>
      </c>
      <c r="C6" s="228"/>
      <c r="D6" s="28"/>
      <c r="E6" s="28"/>
      <c r="F6" s="154" t="s">
        <v>38</v>
      </c>
      <c r="G6" s="154" t="s">
        <v>39</v>
      </c>
      <c r="H6" s="25"/>
      <c r="I6" s="20"/>
      <c r="J6" s="4"/>
      <c r="K6" s="4" t="s">
        <v>128</v>
      </c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</row>
    <row r="7" spans="1:32" ht="15" customHeight="1" x14ac:dyDescent="0.25">
      <c r="A7" s="20"/>
      <c r="B7" s="187" t="str">
        <f>"      "&amp;Nabídka!Q8&amp;", "&amp;Nabídka!Q9</f>
        <v xml:space="preserve">      Krškova 783/15, Praha 5 - Hlubočepy, Česká Republika, 152 00</v>
      </c>
      <c r="C7" s="228"/>
      <c r="D7" s="28"/>
      <c r="E7" s="28"/>
      <c r="F7" s="132">
        <f>SUBTOTAL(109,E14:E79)</f>
        <v>418191</v>
      </c>
      <c r="G7" s="132">
        <f>SUM(E14:E79)</f>
        <v>418191</v>
      </c>
      <c r="H7" s="25"/>
      <c r="I7" s="20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</row>
    <row r="8" spans="1:32" ht="15" customHeight="1" x14ac:dyDescent="0.25">
      <c r="A8" s="20"/>
      <c r="B8" s="187" t="str">
        <f>"      "&amp;Nabídka!Q10&amp;"  /  "&amp;Nabídka!Q11&amp;", "&amp;Nabídka!Q14</f>
        <v xml:space="preserve">      +420 777 062 425  /  michal@kopl.pro, https://www.kopl.pro</v>
      </c>
      <c r="C8" s="228"/>
      <c r="D8" s="28"/>
      <c r="E8" s="28"/>
      <c r="F8" s="28"/>
      <c r="G8" s="28"/>
      <c r="H8" s="25"/>
      <c r="I8" s="20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ht="15" customHeight="1" x14ac:dyDescent="0.25">
      <c r="A9" s="20"/>
      <c r="B9" s="187" t="str">
        <f>"      "&amp;"b.a.: "&amp;Nabídka!Q12&amp;"    IBAN: "&amp;Nabídka!Q13</f>
        <v xml:space="preserve">      b.a.: 670100-2200921129/6210    IBAN: CZ2062106701002200921129</v>
      </c>
      <c r="C9" s="228"/>
      <c r="D9" s="28"/>
      <c r="E9" s="28"/>
      <c r="F9" s="28"/>
      <c r="G9" s="28"/>
      <c r="H9" s="25"/>
      <c r="I9" s="20"/>
      <c r="J9" s="4"/>
      <c r="K9" s="4"/>
      <c r="L9" s="4"/>
      <c r="M9" s="4"/>
      <c r="N9" s="4"/>
      <c r="O9" s="4"/>
      <c r="P9" s="97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</row>
    <row r="10" spans="1:32" ht="15" customHeight="1" x14ac:dyDescent="0.25">
      <c r="A10" s="20"/>
      <c r="B10" s="187" t="str">
        <f>"      "&amp;Nabídka!Q15</f>
        <v xml:space="preserve">      IČO: 03217213</v>
      </c>
      <c r="C10" s="228"/>
      <c r="D10" s="29"/>
      <c r="E10" s="29"/>
      <c r="F10" s="29"/>
      <c r="G10" s="29"/>
      <c r="H10" s="25"/>
      <c r="I10" s="20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</row>
    <row r="11" spans="1:32" ht="15" customHeight="1" thickBot="1" x14ac:dyDescent="0.3">
      <c r="A11" s="20"/>
      <c r="B11" s="30"/>
      <c r="C11" s="76"/>
      <c r="D11" s="61"/>
      <c r="E11" s="61"/>
      <c r="F11" s="63"/>
      <c r="G11" s="63"/>
      <c r="H11" s="26"/>
      <c r="I11" s="20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</row>
    <row r="12" spans="1:32" ht="15" customHeight="1" thickTop="1" x14ac:dyDescent="0.25">
      <c r="A12" s="20"/>
      <c r="B12" s="87"/>
      <c r="C12" s="88"/>
      <c r="D12" s="89"/>
      <c r="E12" s="89"/>
      <c r="F12" s="90"/>
      <c r="G12" s="90"/>
      <c r="H12" s="91"/>
      <c r="I12" s="20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</row>
    <row r="13" spans="1:32" ht="15" customHeight="1" x14ac:dyDescent="0.25">
      <c r="A13" s="20"/>
      <c r="B13" s="87"/>
      <c r="C13" s="105" t="s">
        <v>40</v>
      </c>
      <c r="D13" s="106" t="s">
        <v>41</v>
      </c>
      <c r="E13" s="106" t="s">
        <v>42</v>
      </c>
      <c r="F13" s="106" t="s">
        <v>43</v>
      </c>
      <c r="G13" s="106" t="s">
        <v>44</v>
      </c>
      <c r="H13" s="91"/>
      <c r="I13" s="20"/>
      <c r="J13" s="4"/>
      <c r="K13" s="153" t="str">
        <f ca="1">"Vyčištěním listu v rozsahu C14:G80 dojde k vynulování počítání. Faktury začnou všude opět od čísla 001"&amp;YEAR(TODAY())&amp;"."</f>
        <v>Vyčištěním listu v rozsahu C14:G80 dojde k vynulování počítání. Faktury začnou všude opět od čísla 0012023.</v>
      </c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</row>
    <row r="14" spans="1:32" ht="15" customHeight="1" x14ac:dyDescent="0.25">
      <c r="A14" s="20"/>
      <c r="B14" s="87"/>
      <c r="C14" s="107" t="s">
        <v>115</v>
      </c>
      <c r="D14" s="108" t="str">
        <f>TEXT(12023,"#0000000")</f>
        <v>0012023</v>
      </c>
      <c r="E14" s="133">
        <v>35076</v>
      </c>
      <c r="F14" s="133">
        <v>28988</v>
      </c>
      <c r="G14" s="109">
        <v>45107</v>
      </c>
      <c r="H14" s="91"/>
      <c r="I14" s="20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</row>
    <row r="15" spans="1:32" ht="15" customHeight="1" x14ac:dyDescent="0.25">
      <c r="A15" s="20"/>
      <c r="B15" s="87"/>
      <c r="C15" s="110" t="s">
        <v>115</v>
      </c>
      <c r="D15" s="111" t="str">
        <f>TEXT(22023,"#0000000")</f>
        <v>0022023</v>
      </c>
      <c r="E15" s="134">
        <v>35076</v>
      </c>
      <c r="F15" s="134">
        <v>28988</v>
      </c>
      <c r="G15" s="112">
        <v>45109</v>
      </c>
      <c r="H15" s="91"/>
      <c r="I15" s="20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</row>
    <row r="16" spans="1:32" ht="15" customHeight="1" x14ac:dyDescent="0.25">
      <c r="A16" s="20"/>
      <c r="B16" s="87"/>
      <c r="C16" s="110" t="s">
        <v>115</v>
      </c>
      <c r="D16" s="113" t="str">
        <f>TEXT(32023,"#0000000")</f>
        <v>0032023</v>
      </c>
      <c r="E16" s="134">
        <v>35076</v>
      </c>
      <c r="F16" s="134">
        <v>28988</v>
      </c>
      <c r="G16" s="112">
        <v>45115</v>
      </c>
      <c r="H16" s="91"/>
      <c r="I16" s="20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</row>
    <row r="17" spans="1:32" ht="15" customHeight="1" x14ac:dyDescent="0.25">
      <c r="A17" s="20"/>
      <c r="B17" s="87"/>
      <c r="C17" s="110" t="s">
        <v>115</v>
      </c>
      <c r="D17" s="114" t="str">
        <f>TEXT(42023,"#0000000")</f>
        <v>0042023</v>
      </c>
      <c r="E17" s="134">
        <v>35076</v>
      </c>
      <c r="F17" s="134">
        <v>28988</v>
      </c>
      <c r="G17" s="112">
        <v>45115</v>
      </c>
      <c r="H17" s="91"/>
      <c r="I17" s="20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</row>
    <row r="18" spans="1:32" ht="15" customHeight="1" x14ac:dyDescent="0.25">
      <c r="A18" s="20"/>
      <c r="B18" s="87"/>
      <c r="C18" s="110" t="s">
        <v>115</v>
      </c>
      <c r="D18" s="111" t="str">
        <f>TEXT(52023,"#0000000")</f>
        <v>0052023</v>
      </c>
      <c r="E18" s="134">
        <v>35076</v>
      </c>
      <c r="F18" s="134">
        <v>28988</v>
      </c>
      <c r="G18" s="112">
        <v>45116</v>
      </c>
      <c r="H18" s="91"/>
      <c r="I18" s="20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</row>
    <row r="19" spans="1:32" ht="15" customHeight="1" x14ac:dyDescent="0.25">
      <c r="A19" s="20"/>
      <c r="B19" s="87"/>
      <c r="C19" s="110" t="s">
        <v>115</v>
      </c>
      <c r="D19" s="111" t="str">
        <f>TEXT(62023,"#0000000")</f>
        <v>0062023</v>
      </c>
      <c r="E19" s="134">
        <v>35076</v>
      </c>
      <c r="F19" s="134">
        <v>28988</v>
      </c>
      <c r="G19" s="112">
        <v>45116</v>
      </c>
      <c r="H19" s="92"/>
      <c r="I19" s="20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</row>
    <row r="20" spans="1:32" ht="15" customHeight="1" x14ac:dyDescent="0.25">
      <c r="A20" s="20"/>
      <c r="B20" s="87"/>
      <c r="C20" s="115" t="s">
        <v>115</v>
      </c>
      <c r="D20" s="111" t="str">
        <f>TEXT(72023,"#0000000")</f>
        <v>0072023</v>
      </c>
      <c r="E20" s="134">
        <v>35076</v>
      </c>
      <c r="F20" s="134">
        <v>28988</v>
      </c>
      <c r="G20" s="112">
        <v>45116</v>
      </c>
      <c r="H20" s="92"/>
      <c r="I20" s="20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</row>
    <row r="21" spans="1:32" ht="15" customHeight="1" x14ac:dyDescent="0.25">
      <c r="A21" s="20"/>
      <c r="B21" s="87"/>
      <c r="C21" s="115" t="s">
        <v>115</v>
      </c>
      <c r="D21" s="111" t="str">
        <f>TEXT(82023,"#0000000")</f>
        <v>0082023</v>
      </c>
      <c r="E21" s="134">
        <v>35076</v>
      </c>
      <c r="F21" s="134">
        <v>28988</v>
      </c>
      <c r="G21" s="112">
        <v>45116</v>
      </c>
      <c r="H21" s="92"/>
      <c r="I21" s="20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</row>
    <row r="22" spans="1:32" ht="15" customHeight="1" x14ac:dyDescent="0.25">
      <c r="A22" s="20"/>
      <c r="B22" s="87"/>
      <c r="C22" s="115" t="s">
        <v>107</v>
      </c>
      <c r="D22" s="111" t="str">
        <f>TEXT(92023,"#0000000")</f>
        <v>0092023</v>
      </c>
      <c r="E22" s="134">
        <v>35076</v>
      </c>
      <c r="F22" s="134">
        <v>28988</v>
      </c>
      <c r="G22" s="112">
        <v>45116</v>
      </c>
      <c r="H22" s="92"/>
      <c r="I22" s="20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</row>
    <row r="23" spans="1:32" ht="15" customHeight="1" x14ac:dyDescent="0.25">
      <c r="A23" s="20"/>
      <c r="B23" s="87"/>
      <c r="C23" s="115" t="s">
        <v>107</v>
      </c>
      <c r="D23" s="111" t="str">
        <f>TEXT(102023,"#0000000")</f>
        <v>0102023</v>
      </c>
      <c r="E23" s="134">
        <v>35076</v>
      </c>
      <c r="F23" s="134">
        <v>28988</v>
      </c>
      <c r="G23" s="112">
        <v>45116</v>
      </c>
      <c r="H23" s="92"/>
      <c r="I23" s="20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</row>
    <row r="24" spans="1:32" ht="15" customHeight="1" x14ac:dyDescent="0.25">
      <c r="A24" s="20"/>
      <c r="B24" s="87"/>
      <c r="C24" s="115" t="s">
        <v>107</v>
      </c>
      <c r="D24" s="111" t="str">
        <f>TEXT(112023,"#0000000")</f>
        <v>0112023</v>
      </c>
      <c r="E24" s="134">
        <v>35076</v>
      </c>
      <c r="F24" s="134">
        <v>28988</v>
      </c>
      <c r="G24" s="112">
        <v>45116</v>
      </c>
      <c r="H24" s="92"/>
      <c r="I24" s="20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</row>
    <row r="25" spans="1:32" ht="15" customHeight="1" x14ac:dyDescent="0.25">
      <c r="A25" s="20"/>
      <c r="B25" s="87"/>
      <c r="C25" s="115" t="s">
        <v>107</v>
      </c>
      <c r="D25" s="111" t="str">
        <f>TEXT(122023,"#0000000")</f>
        <v>0122023</v>
      </c>
      <c r="E25" s="134">
        <v>32355</v>
      </c>
      <c r="F25" s="134">
        <v>26738.9</v>
      </c>
      <c r="G25" s="112">
        <v>45125</v>
      </c>
      <c r="H25" s="92"/>
      <c r="I25" s="20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</row>
    <row r="26" spans="1:32" ht="15" customHeight="1" x14ac:dyDescent="0.25">
      <c r="A26" s="20"/>
      <c r="B26" s="87"/>
      <c r="C26" s="115"/>
      <c r="D26" s="111"/>
      <c r="E26" s="134"/>
      <c r="F26" s="134"/>
      <c r="G26" s="112"/>
      <c r="H26" s="92"/>
      <c r="I26" s="20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</row>
    <row r="27" spans="1:32" ht="15" customHeight="1" x14ac:dyDescent="0.25">
      <c r="A27" s="20"/>
      <c r="B27" s="87"/>
      <c r="C27" s="115"/>
      <c r="D27" s="111"/>
      <c r="E27" s="134"/>
      <c r="F27" s="134"/>
      <c r="G27" s="112"/>
      <c r="H27" s="92"/>
      <c r="I27" s="20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</row>
    <row r="28" spans="1:32" ht="15" customHeight="1" x14ac:dyDescent="0.25">
      <c r="A28" s="20"/>
      <c r="B28" s="87"/>
      <c r="C28" s="110"/>
      <c r="D28" s="111"/>
      <c r="E28" s="134"/>
      <c r="F28" s="134"/>
      <c r="G28" s="112"/>
      <c r="H28" s="92"/>
      <c r="I28" s="20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</row>
    <row r="29" spans="1:32" ht="15" customHeight="1" x14ac:dyDescent="0.25">
      <c r="A29" s="20"/>
      <c r="B29" s="87"/>
      <c r="C29" s="115"/>
      <c r="D29" s="111"/>
      <c r="E29" s="134"/>
      <c r="F29" s="134"/>
      <c r="G29" s="112"/>
      <c r="H29" s="92"/>
      <c r="I29" s="20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</row>
    <row r="30" spans="1:32" ht="15" customHeight="1" x14ac:dyDescent="0.25">
      <c r="A30" s="20"/>
      <c r="B30" s="87"/>
      <c r="C30" s="115"/>
      <c r="D30" s="111"/>
      <c r="E30" s="134"/>
      <c r="F30" s="134"/>
      <c r="G30" s="112"/>
      <c r="H30" s="92"/>
      <c r="I30" s="20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</row>
    <row r="31" spans="1:32" ht="15" customHeight="1" x14ac:dyDescent="0.25">
      <c r="A31" s="20"/>
      <c r="B31" s="87"/>
      <c r="C31" s="115"/>
      <c r="D31" s="111"/>
      <c r="E31" s="134"/>
      <c r="F31" s="134"/>
      <c r="G31" s="112"/>
      <c r="H31" s="92"/>
      <c r="I31" s="20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</row>
    <row r="32" spans="1:32" ht="15" customHeight="1" x14ac:dyDescent="0.25">
      <c r="A32" s="20"/>
      <c r="B32" s="87"/>
      <c r="C32" s="115"/>
      <c r="D32" s="111"/>
      <c r="E32" s="134"/>
      <c r="F32" s="134"/>
      <c r="G32" s="112"/>
      <c r="H32" s="92"/>
      <c r="I32" s="20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</row>
    <row r="33" spans="1:32" ht="15" customHeight="1" x14ac:dyDescent="0.25">
      <c r="A33" s="20"/>
      <c r="B33" s="87"/>
      <c r="C33" s="115"/>
      <c r="D33" s="111"/>
      <c r="E33" s="134"/>
      <c r="F33" s="134"/>
      <c r="G33" s="112"/>
      <c r="H33" s="92"/>
      <c r="I33" s="20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</row>
    <row r="34" spans="1:32" ht="15" customHeight="1" x14ac:dyDescent="0.25">
      <c r="A34" s="20"/>
      <c r="B34" s="87"/>
      <c r="C34" s="115"/>
      <c r="D34" s="111"/>
      <c r="E34" s="134"/>
      <c r="F34" s="134"/>
      <c r="G34" s="112"/>
      <c r="H34" s="92"/>
      <c r="I34" s="20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</row>
    <row r="35" spans="1:32" ht="15" customHeight="1" x14ac:dyDescent="0.25">
      <c r="A35" s="20"/>
      <c r="B35" s="87"/>
      <c r="C35" s="115"/>
      <c r="D35" s="111"/>
      <c r="E35" s="134"/>
      <c r="F35" s="134"/>
      <c r="G35" s="112"/>
      <c r="H35" s="92"/>
      <c r="I35" s="20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</row>
    <row r="36" spans="1:32" ht="15" customHeight="1" x14ac:dyDescent="0.25">
      <c r="A36" s="20"/>
      <c r="B36" s="87"/>
      <c r="C36" s="115"/>
      <c r="D36" s="111"/>
      <c r="E36" s="134"/>
      <c r="F36" s="134"/>
      <c r="G36" s="112"/>
      <c r="H36" s="92"/>
      <c r="I36" s="20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</row>
    <row r="37" spans="1:32" ht="15" customHeight="1" x14ac:dyDescent="0.25">
      <c r="A37" s="20"/>
      <c r="B37" s="87"/>
      <c r="C37" s="115"/>
      <c r="D37" s="111"/>
      <c r="E37" s="134"/>
      <c r="F37" s="134"/>
      <c r="G37" s="112"/>
      <c r="H37" s="92"/>
      <c r="I37" s="20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</row>
    <row r="38" spans="1:32" ht="15" customHeight="1" x14ac:dyDescent="0.25">
      <c r="A38" s="20"/>
      <c r="B38" s="87"/>
      <c r="C38" s="115"/>
      <c r="D38" s="111"/>
      <c r="E38" s="134"/>
      <c r="F38" s="134"/>
      <c r="G38" s="112"/>
      <c r="H38" s="92"/>
      <c r="I38" s="20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</row>
    <row r="39" spans="1:32" ht="15" customHeight="1" x14ac:dyDescent="0.25">
      <c r="A39" s="20"/>
      <c r="B39" s="87"/>
      <c r="C39" s="115"/>
      <c r="D39" s="111"/>
      <c r="E39" s="134"/>
      <c r="F39" s="134"/>
      <c r="G39" s="112"/>
      <c r="H39" s="92"/>
      <c r="I39" s="20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</row>
    <row r="40" spans="1:32" ht="15" customHeight="1" x14ac:dyDescent="0.25">
      <c r="A40" s="20"/>
      <c r="B40" s="87"/>
      <c r="C40" s="115"/>
      <c r="D40" s="111"/>
      <c r="E40" s="134"/>
      <c r="F40" s="134"/>
      <c r="G40" s="112"/>
      <c r="H40" s="92"/>
      <c r="I40" s="20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</row>
    <row r="41" spans="1:32" ht="15" customHeight="1" x14ac:dyDescent="0.25">
      <c r="A41" s="20"/>
      <c r="B41" s="87"/>
      <c r="C41" s="115"/>
      <c r="D41" s="111"/>
      <c r="E41" s="134"/>
      <c r="F41" s="134"/>
      <c r="G41" s="112"/>
      <c r="H41" s="92"/>
      <c r="I41" s="20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</row>
    <row r="42" spans="1:32" ht="15" customHeight="1" x14ac:dyDescent="0.25">
      <c r="A42" s="20"/>
      <c r="B42" s="87"/>
      <c r="C42" s="115"/>
      <c r="D42" s="111"/>
      <c r="E42" s="134"/>
      <c r="F42" s="134"/>
      <c r="G42" s="112"/>
      <c r="H42" s="92"/>
      <c r="I42" s="20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</row>
    <row r="43" spans="1:32" ht="15" customHeight="1" x14ac:dyDescent="0.25">
      <c r="A43" s="20"/>
      <c r="B43" s="87"/>
      <c r="C43" s="110"/>
      <c r="D43" s="111"/>
      <c r="E43" s="135"/>
      <c r="F43" s="135"/>
      <c r="G43" s="112"/>
      <c r="H43" s="92"/>
      <c r="I43" s="20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</row>
    <row r="44" spans="1:32" ht="15" customHeight="1" x14ac:dyDescent="0.25">
      <c r="A44" s="20"/>
      <c r="B44" s="87"/>
      <c r="C44" s="110"/>
      <c r="D44" s="111"/>
      <c r="E44" s="135"/>
      <c r="F44" s="135"/>
      <c r="G44" s="112"/>
      <c r="H44" s="92"/>
      <c r="I44" s="20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</row>
    <row r="45" spans="1:32" ht="15" customHeight="1" x14ac:dyDescent="0.25">
      <c r="A45" s="20"/>
      <c r="B45" s="87"/>
      <c r="C45" s="110"/>
      <c r="D45" s="111"/>
      <c r="E45" s="134"/>
      <c r="F45" s="134"/>
      <c r="G45" s="112"/>
      <c r="H45" s="92"/>
      <c r="I45" s="20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</row>
    <row r="46" spans="1:32" ht="15" customHeight="1" x14ac:dyDescent="0.25">
      <c r="A46" s="20"/>
      <c r="B46" s="87"/>
      <c r="C46" s="110"/>
      <c r="D46" s="111"/>
      <c r="E46" s="134"/>
      <c r="F46" s="134"/>
      <c r="G46" s="112"/>
      <c r="H46" s="92"/>
      <c r="I46" s="20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</row>
    <row r="47" spans="1:32" ht="15" customHeight="1" x14ac:dyDescent="0.25">
      <c r="A47" s="20"/>
      <c r="B47" s="87"/>
      <c r="C47" s="110"/>
      <c r="D47" s="111"/>
      <c r="E47" s="134"/>
      <c r="F47" s="134"/>
      <c r="G47" s="112"/>
      <c r="H47" s="92"/>
      <c r="I47" s="20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</row>
    <row r="48" spans="1:32" ht="15" customHeight="1" x14ac:dyDescent="0.25">
      <c r="A48" s="20"/>
      <c r="B48" s="87"/>
      <c r="C48" s="110"/>
      <c r="D48" s="111"/>
      <c r="E48" s="134"/>
      <c r="F48" s="134"/>
      <c r="G48" s="112"/>
      <c r="H48" s="92"/>
      <c r="I48" s="20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</row>
    <row r="49" spans="1:81" ht="15" customHeight="1" x14ac:dyDescent="0.25">
      <c r="A49" s="20"/>
      <c r="B49" s="87"/>
      <c r="C49" s="110"/>
      <c r="D49" s="111"/>
      <c r="E49" s="134"/>
      <c r="F49" s="134"/>
      <c r="G49" s="112"/>
      <c r="H49" s="92"/>
      <c r="I49" s="20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</row>
    <row r="50" spans="1:81" ht="15" customHeight="1" x14ac:dyDescent="0.25">
      <c r="A50" s="20"/>
      <c r="B50" s="87"/>
      <c r="C50" s="110"/>
      <c r="D50" s="111"/>
      <c r="E50" s="134"/>
      <c r="F50" s="134"/>
      <c r="G50" s="112"/>
      <c r="H50" s="92"/>
      <c r="I50" s="20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</row>
    <row r="51" spans="1:81" ht="15" customHeight="1" x14ac:dyDescent="0.25">
      <c r="A51" s="20"/>
      <c r="B51" s="87"/>
      <c r="C51" s="110"/>
      <c r="D51" s="111"/>
      <c r="E51" s="134"/>
      <c r="F51" s="134"/>
      <c r="G51" s="112"/>
      <c r="H51" s="92"/>
      <c r="I51" s="20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</row>
    <row r="52" spans="1:81" ht="15" customHeight="1" x14ac:dyDescent="0.25">
      <c r="A52" s="20"/>
      <c r="B52" s="87"/>
      <c r="C52" s="110"/>
      <c r="D52" s="111"/>
      <c r="E52" s="134"/>
      <c r="F52" s="134"/>
      <c r="G52" s="112"/>
      <c r="H52" s="92"/>
      <c r="I52" s="20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</row>
    <row r="53" spans="1:81" ht="15" customHeight="1" x14ac:dyDescent="0.25">
      <c r="A53" s="20"/>
      <c r="B53" s="87"/>
      <c r="C53" s="110"/>
      <c r="D53" s="111"/>
      <c r="E53" s="134"/>
      <c r="F53" s="134"/>
      <c r="G53" s="112"/>
      <c r="H53" s="92"/>
      <c r="I53" s="20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</row>
    <row r="54" spans="1:81" ht="15" customHeight="1" x14ac:dyDescent="0.25">
      <c r="A54" s="20"/>
      <c r="B54" s="87"/>
      <c r="C54" s="110"/>
      <c r="D54" s="111"/>
      <c r="E54" s="134"/>
      <c r="F54" s="134"/>
      <c r="G54" s="112"/>
      <c r="H54" s="92"/>
      <c r="I54" s="20"/>
      <c r="L54" s="75"/>
      <c r="M54" s="10"/>
    </row>
    <row r="55" spans="1:81" ht="15" customHeight="1" x14ac:dyDescent="0.25">
      <c r="A55" s="20"/>
      <c r="B55" s="87"/>
      <c r="C55" s="110"/>
      <c r="D55" s="111"/>
      <c r="E55" s="134"/>
      <c r="F55" s="134"/>
      <c r="G55" s="112"/>
      <c r="H55" s="92"/>
      <c r="I55" s="20"/>
      <c r="L55" s="75"/>
      <c r="M55" s="10"/>
    </row>
    <row r="56" spans="1:81" ht="15" customHeight="1" x14ac:dyDescent="0.25">
      <c r="A56" s="20"/>
      <c r="B56" s="87"/>
      <c r="C56" s="110"/>
      <c r="D56" s="111"/>
      <c r="E56" s="133"/>
      <c r="F56" s="134"/>
      <c r="G56" s="116"/>
      <c r="H56" s="92"/>
      <c r="I56" s="20"/>
      <c r="J56" s="13"/>
      <c r="K56" s="13"/>
      <c r="L56" s="13"/>
      <c r="M56" s="13"/>
      <c r="N56" s="13"/>
      <c r="O56" s="13"/>
      <c r="P56" s="13"/>
      <c r="Q56" s="13"/>
      <c r="R56" s="13"/>
      <c r="S56" s="13"/>
    </row>
    <row r="57" spans="1:81" ht="15" customHeight="1" x14ac:dyDescent="0.25">
      <c r="A57" s="20"/>
      <c r="B57" s="87"/>
      <c r="C57" s="110"/>
      <c r="D57" s="111"/>
      <c r="E57" s="133"/>
      <c r="F57" s="134"/>
      <c r="G57" s="116"/>
      <c r="H57" s="92"/>
      <c r="I57" s="20"/>
      <c r="J57" s="13"/>
      <c r="K57" s="13"/>
      <c r="L57" s="64"/>
      <c r="M57" s="64"/>
      <c r="N57" s="64"/>
      <c r="O57" s="64"/>
      <c r="P57" s="64"/>
      <c r="Q57" s="64"/>
      <c r="R57" s="64"/>
      <c r="S57" s="64"/>
    </row>
    <row r="58" spans="1:81" ht="15" customHeight="1" x14ac:dyDescent="0.25">
      <c r="A58" s="20"/>
      <c r="B58" s="87"/>
      <c r="C58" s="110"/>
      <c r="D58" s="111"/>
      <c r="E58" s="133"/>
      <c r="F58" s="134"/>
      <c r="G58" s="116"/>
      <c r="H58" s="93"/>
      <c r="I58"/>
      <c r="J58" s="14"/>
      <c r="K58" s="14"/>
      <c r="L58" s="64"/>
      <c r="M58" s="64"/>
      <c r="N58" s="64"/>
      <c r="O58" s="64"/>
      <c r="P58" s="64"/>
      <c r="Q58" s="64"/>
      <c r="R58" s="64"/>
      <c r="S58" s="6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</row>
    <row r="59" spans="1:81" ht="15" customHeight="1" x14ac:dyDescent="0.25">
      <c r="A59" s="20"/>
      <c r="B59" s="87"/>
      <c r="C59" s="110"/>
      <c r="D59" s="111"/>
      <c r="E59" s="134"/>
      <c r="F59" s="134"/>
      <c r="G59" s="116"/>
      <c r="H59" s="93"/>
      <c r="I59"/>
      <c r="J59" s="14"/>
      <c r="K59" s="14"/>
      <c r="L59" s="64"/>
      <c r="M59" s="64"/>
      <c r="N59" s="64"/>
      <c r="O59" s="64"/>
      <c r="P59" s="64"/>
      <c r="Q59" s="64"/>
      <c r="R59" s="64"/>
      <c r="S59" s="6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</row>
    <row r="60" spans="1:81" ht="15" customHeight="1" x14ac:dyDescent="0.25">
      <c r="A60" s="20"/>
      <c r="B60" s="87"/>
      <c r="C60" s="110"/>
      <c r="D60" s="111"/>
      <c r="E60" s="134"/>
      <c r="F60" s="134"/>
      <c r="G60" s="112"/>
      <c r="H60" s="93"/>
      <c r="I60"/>
      <c r="J60" s="14"/>
      <c r="K60" s="14"/>
      <c r="L60" s="64"/>
      <c r="M60" s="64"/>
      <c r="N60" s="64"/>
      <c r="O60" s="64"/>
      <c r="P60" s="64"/>
      <c r="Q60" s="64"/>
      <c r="R60" s="64"/>
      <c r="S60" s="6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</row>
    <row r="61" spans="1:81" ht="15" customHeight="1" x14ac:dyDescent="0.25">
      <c r="A61" s="20"/>
      <c r="B61" s="87"/>
      <c r="C61" s="107"/>
      <c r="D61" s="117"/>
      <c r="E61" s="133"/>
      <c r="F61" s="133"/>
      <c r="G61" s="109"/>
      <c r="H61" s="93"/>
      <c r="I61"/>
      <c r="J61" s="14"/>
      <c r="K61" s="14"/>
      <c r="L61" s="64"/>
      <c r="M61" s="64"/>
      <c r="N61" s="64"/>
      <c r="O61" s="64"/>
      <c r="P61" s="64"/>
      <c r="Q61" s="64"/>
      <c r="R61" s="64"/>
      <c r="S61" s="6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</row>
    <row r="62" spans="1:81" ht="15" customHeight="1" x14ac:dyDescent="0.25">
      <c r="A62" s="20"/>
      <c r="B62" s="87"/>
      <c r="C62" s="107"/>
      <c r="D62" s="108"/>
      <c r="E62" s="133"/>
      <c r="F62" s="133"/>
      <c r="G62" s="109"/>
      <c r="H62" s="93"/>
      <c r="I62"/>
      <c r="J62" s="14"/>
      <c r="K62" s="14"/>
      <c r="L62" s="64"/>
      <c r="M62" s="64"/>
      <c r="N62" s="64"/>
      <c r="O62" s="64"/>
      <c r="P62" s="64"/>
      <c r="Q62" s="64"/>
      <c r="R62" s="64"/>
      <c r="S62" s="6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</row>
    <row r="63" spans="1:81" ht="15" customHeight="1" x14ac:dyDescent="0.25">
      <c r="A63" s="20"/>
      <c r="B63" s="87"/>
      <c r="C63" s="107"/>
      <c r="D63" s="108"/>
      <c r="E63" s="133"/>
      <c r="F63" s="133"/>
      <c r="G63" s="109"/>
      <c r="H63" s="93"/>
      <c r="I63"/>
      <c r="J63" s="14"/>
      <c r="K63" s="14"/>
      <c r="L63" s="64"/>
      <c r="M63" s="64"/>
      <c r="N63" s="64"/>
      <c r="O63" s="64"/>
      <c r="P63" s="64"/>
      <c r="Q63" s="64"/>
      <c r="R63" s="64"/>
      <c r="S63" s="6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</row>
    <row r="64" spans="1:81" ht="15" customHeight="1" x14ac:dyDescent="0.25">
      <c r="A64" s="20"/>
      <c r="B64" s="87"/>
      <c r="C64" s="107"/>
      <c r="D64" s="108"/>
      <c r="E64" s="133"/>
      <c r="F64" s="133"/>
      <c r="G64" s="109"/>
      <c r="H64" s="93"/>
      <c r="I64"/>
      <c r="J64" s="14"/>
      <c r="K64" s="14"/>
      <c r="L64" s="64"/>
      <c r="M64" s="64"/>
      <c r="N64" s="64"/>
      <c r="O64" s="64"/>
      <c r="P64" s="64"/>
      <c r="Q64" s="64"/>
      <c r="R64" s="64"/>
      <c r="S64" s="6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</row>
    <row r="65" spans="1:81" ht="15" customHeight="1" x14ac:dyDescent="0.25">
      <c r="A65" s="20"/>
      <c r="B65" s="87"/>
      <c r="C65" s="107"/>
      <c r="D65" s="108"/>
      <c r="E65" s="133"/>
      <c r="F65" s="133"/>
      <c r="G65" s="109"/>
      <c r="H65" s="93"/>
      <c r="I65"/>
      <c r="J65" s="14"/>
      <c r="K65" s="14"/>
      <c r="L65" s="64"/>
      <c r="M65" s="64"/>
      <c r="N65" s="64"/>
      <c r="O65" s="64"/>
      <c r="P65" s="64"/>
      <c r="Q65" s="64"/>
      <c r="R65" s="64"/>
      <c r="S65" s="6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</row>
    <row r="66" spans="1:81" ht="15" customHeight="1" x14ac:dyDescent="0.25">
      <c r="A66" s="20"/>
      <c r="B66" s="87"/>
      <c r="C66" s="107"/>
      <c r="D66" s="108"/>
      <c r="E66" s="133"/>
      <c r="F66" s="133"/>
      <c r="G66" s="109"/>
      <c r="H66" s="92"/>
      <c r="I66" s="20"/>
      <c r="J66" s="13"/>
      <c r="K66" s="13"/>
      <c r="L66" s="64"/>
      <c r="M66" s="64"/>
      <c r="N66" s="64"/>
      <c r="O66" s="64"/>
      <c r="P66" s="64"/>
      <c r="Q66" s="64"/>
      <c r="R66" s="64"/>
      <c r="S66" s="64"/>
    </row>
    <row r="67" spans="1:81" ht="15" customHeight="1" x14ac:dyDescent="0.25">
      <c r="A67" s="20"/>
      <c r="B67" s="87"/>
      <c r="C67" s="107"/>
      <c r="D67" s="108"/>
      <c r="E67" s="133"/>
      <c r="F67" s="133"/>
      <c r="G67" s="109"/>
      <c r="H67" s="92"/>
      <c r="I67" s="20"/>
      <c r="J67" s="13"/>
      <c r="K67" s="13"/>
      <c r="L67" s="64"/>
      <c r="M67" s="64"/>
      <c r="N67" s="64"/>
      <c r="O67" s="64"/>
      <c r="P67" s="64"/>
      <c r="Q67" s="64"/>
      <c r="R67" s="64"/>
      <c r="S67" s="64"/>
    </row>
    <row r="68" spans="1:81" ht="15" customHeight="1" x14ac:dyDescent="0.25">
      <c r="A68" s="20"/>
      <c r="B68" s="87"/>
      <c r="C68" s="107"/>
      <c r="D68" s="108"/>
      <c r="E68" s="133"/>
      <c r="F68" s="133"/>
      <c r="G68" s="109"/>
      <c r="H68" s="92"/>
      <c r="I68" s="20"/>
      <c r="J68" s="13"/>
      <c r="K68" s="13"/>
      <c r="L68" s="64"/>
      <c r="M68" s="64"/>
      <c r="N68" s="64"/>
      <c r="O68" s="64"/>
      <c r="P68" s="64"/>
      <c r="Q68" s="64"/>
      <c r="R68" s="64"/>
      <c r="S68" s="64"/>
    </row>
    <row r="69" spans="1:81" ht="15" customHeight="1" x14ac:dyDescent="0.25">
      <c r="A69" s="20"/>
      <c r="B69" s="87"/>
      <c r="C69" s="108"/>
      <c r="D69" s="118"/>
      <c r="E69" s="134"/>
      <c r="F69" s="134"/>
      <c r="G69" s="112"/>
      <c r="H69" s="92"/>
      <c r="I69" s="20"/>
      <c r="J69" s="13"/>
      <c r="K69" s="13"/>
      <c r="L69" s="65"/>
      <c r="M69" s="65"/>
      <c r="N69" s="65"/>
      <c r="O69" s="65"/>
      <c r="P69" s="65"/>
      <c r="Q69" s="64"/>
      <c r="R69" s="64"/>
      <c r="S69" s="64"/>
    </row>
    <row r="70" spans="1:81" ht="15" customHeight="1" x14ac:dyDescent="0.25">
      <c r="A70" s="20"/>
      <c r="B70" s="87"/>
      <c r="C70" s="108"/>
      <c r="D70" s="118"/>
      <c r="E70" s="134"/>
      <c r="F70" s="134"/>
      <c r="G70" s="112"/>
      <c r="H70" s="92"/>
      <c r="I70" s="20"/>
      <c r="J70" s="13"/>
      <c r="K70" s="13"/>
      <c r="L70" s="65"/>
      <c r="M70" s="65"/>
      <c r="N70" s="65"/>
      <c r="O70" s="65"/>
      <c r="P70" s="65"/>
      <c r="Q70" s="64"/>
      <c r="R70" s="64"/>
      <c r="S70" s="64"/>
    </row>
    <row r="71" spans="1:81" ht="15" customHeight="1" x14ac:dyDescent="0.25">
      <c r="A71" s="20"/>
      <c r="B71" s="87"/>
      <c r="C71" s="107"/>
      <c r="D71" s="118"/>
      <c r="E71" s="134"/>
      <c r="F71" s="134"/>
      <c r="G71" s="112"/>
      <c r="H71" s="91"/>
      <c r="I71" s="20"/>
      <c r="J71" s="13"/>
      <c r="K71" s="13"/>
      <c r="L71" s="65"/>
      <c r="M71" s="65"/>
      <c r="N71" s="65"/>
      <c r="O71" s="65"/>
      <c r="P71" s="65"/>
      <c r="Q71" s="64"/>
      <c r="R71" s="64"/>
      <c r="S71" s="64"/>
    </row>
    <row r="72" spans="1:81" ht="15" customHeight="1" x14ac:dyDescent="0.25">
      <c r="A72" s="20"/>
      <c r="B72" s="87"/>
      <c r="C72" s="110"/>
      <c r="D72" s="111"/>
      <c r="E72" s="134"/>
      <c r="F72" s="134"/>
      <c r="G72" s="112"/>
      <c r="H72" s="91"/>
      <c r="I72" s="20"/>
      <c r="J72" s="13"/>
      <c r="K72" s="13"/>
      <c r="L72" s="65"/>
      <c r="M72" s="65"/>
      <c r="N72" s="65"/>
      <c r="O72" s="65"/>
      <c r="P72" s="65"/>
      <c r="Q72" s="64"/>
      <c r="R72" s="64"/>
      <c r="S72" s="64"/>
    </row>
    <row r="73" spans="1:81" ht="15" customHeight="1" x14ac:dyDescent="0.25">
      <c r="A73" s="20"/>
      <c r="B73" s="87"/>
      <c r="C73" s="110"/>
      <c r="D73" s="111"/>
      <c r="E73" s="134"/>
      <c r="F73" s="134"/>
      <c r="G73" s="112"/>
      <c r="H73" s="91"/>
      <c r="I73" s="20"/>
      <c r="J73" s="13"/>
      <c r="K73" s="13"/>
      <c r="L73" s="65"/>
      <c r="M73" s="65"/>
      <c r="N73" s="65"/>
      <c r="O73" s="65"/>
      <c r="P73" s="65"/>
      <c r="Q73" s="64"/>
      <c r="R73" s="64"/>
      <c r="S73" s="64"/>
    </row>
    <row r="74" spans="1:81" ht="15" customHeight="1" x14ac:dyDescent="0.25">
      <c r="A74" s="20"/>
      <c r="B74" s="87"/>
      <c r="C74" s="107"/>
      <c r="D74" s="111"/>
      <c r="E74" s="134"/>
      <c r="F74" s="134"/>
      <c r="G74" s="112"/>
      <c r="H74" s="92"/>
      <c r="I74" s="20"/>
      <c r="J74" s="13"/>
      <c r="K74" s="13"/>
      <c r="L74" s="65"/>
      <c r="M74" s="65"/>
      <c r="N74" s="65"/>
      <c r="O74" s="65"/>
      <c r="P74" s="65"/>
      <c r="Q74" s="64"/>
      <c r="R74" s="64"/>
      <c r="S74" s="64"/>
    </row>
    <row r="75" spans="1:81" ht="15" customHeight="1" x14ac:dyDescent="0.25">
      <c r="A75" s="20"/>
      <c r="B75" s="87"/>
      <c r="C75" s="110"/>
      <c r="D75" s="111"/>
      <c r="E75" s="134"/>
      <c r="F75" s="134"/>
      <c r="G75" s="112"/>
      <c r="H75" s="92"/>
      <c r="I75" s="20"/>
      <c r="J75" s="13"/>
      <c r="K75" s="13"/>
      <c r="L75" s="64"/>
      <c r="M75" s="64"/>
      <c r="N75" s="64"/>
      <c r="O75" s="64"/>
      <c r="P75" s="64"/>
      <c r="Q75" s="64"/>
      <c r="R75" s="64"/>
      <c r="S75" s="64"/>
    </row>
    <row r="76" spans="1:81" ht="15" customHeight="1" x14ac:dyDescent="0.25">
      <c r="A76" s="20"/>
      <c r="B76" s="87"/>
      <c r="C76" s="110"/>
      <c r="D76" s="111"/>
      <c r="E76" s="134"/>
      <c r="F76" s="134"/>
      <c r="G76" s="112"/>
      <c r="H76" s="91"/>
      <c r="I76" s="20"/>
      <c r="J76" s="13"/>
      <c r="K76" s="13"/>
      <c r="L76" s="64"/>
      <c r="M76" s="66"/>
      <c r="N76" s="64"/>
      <c r="O76" s="64"/>
      <c r="P76" s="64"/>
      <c r="Q76" s="64"/>
      <c r="R76" s="64"/>
      <c r="S76" s="64"/>
    </row>
    <row r="77" spans="1:81" ht="15" customHeight="1" x14ac:dyDescent="0.25">
      <c r="A77" s="20"/>
      <c r="B77" s="87"/>
      <c r="C77" s="110"/>
      <c r="D77" s="111"/>
      <c r="E77" s="134"/>
      <c r="F77" s="134"/>
      <c r="G77" s="112"/>
      <c r="H77" s="91"/>
      <c r="I77" s="20"/>
      <c r="J77" s="13"/>
      <c r="K77" s="13"/>
      <c r="L77" s="67"/>
      <c r="M77" s="64"/>
      <c r="N77" s="64"/>
      <c r="O77" s="64"/>
      <c r="P77" s="64"/>
      <c r="Q77" s="64"/>
      <c r="R77" s="64"/>
      <c r="S77" s="64"/>
    </row>
    <row r="78" spans="1:81" ht="15" customHeight="1" x14ac:dyDescent="0.25">
      <c r="A78" s="20"/>
      <c r="B78" s="87"/>
      <c r="C78" s="119"/>
      <c r="D78" s="111"/>
      <c r="E78" s="134"/>
      <c r="F78" s="134"/>
      <c r="G78" s="112"/>
      <c r="H78" s="91"/>
      <c r="I78" s="20"/>
      <c r="J78" s="13"/>
      <c r="K78" s="13"/>
      <c r="L78" s="64"/>
      <c r="M78" s="64"/>
      <c r="N78" s="64"/>
      <c r="O78" s="64"/>
      <c r="P78" s="64"/>
      <c r="Q78" s="64"/>
      <c r="R78" s="64"/>
      <c r="S78" s="64"/>
    </row>
    <row r="79" spans="1:81" ht="15" customHeight="1" x14ac:dyDescent="0.25">
      <c r="A79" s="20"/>
      <c r="B79" s="87"/>
      <c r="C79" s="120"/>
      <c r="D79" s="111"/>
      <c r="E79" s="134"/>
      <c r="F79" s="134"/>
      <c r="G79" s="112"/>
      <c r="H79" s="91"/>
      <c r="I79" s="20"/>
      <c r="J79" s="13"/>
      <c r="K79" s="13"/>
      <c r="L79" s="64"/>
      <c r="M79" s="64"/>
      <c r="N79" s="64"/>
      <c r="O79" s="64"/>
      <c r="P79" s="64"/>
      <c r="Q79" s="64"/>
      <c r="R79" s="64"/>
      <c r="S79" s="64"/>
    </row>
    <row r="80" spans="1:81" ht="15" customHeight="1" thickBot="1" x14ac:dyDescent="0.3">
      <c r="A80" s="20"/>
      <c r="B80" s="94"/>
      <c r="C80" s="99"/>
      <c r="D80" s="96"/>
      <c r="E80" s="136"/>
      <c r="F80" s="136"/>
      <c r="G80" s="98"/>
      <c r="H80" s="95"/>
      <c r="I80" s="20"/>
      <c r="J80" s="13"/>
      <c r="K80" s="13"/>
      <c r="L80" s="64"/>
      <c r="M80" s="64"/>
      <c r="N80" s="64"/>
      <c r="O80" s="64"/>
      <c r="P80" s="64"/>
      <c r="Q80" s="64"/>
      <c r="R80" s="64"/>
      <c r="S80" s="64"/>
    </row>
    <row r="81" spans="1:19" ht="15" customHeight="1" thickTop="1" x14ac:dyDescent="0.25">
      <c r="A81" s="20"/>
      <c r="B81" s="20"/>
      <c r="C81" s="20"/>
      <c r="D81" s="20"/>
      <c r="E81" s="28"/>
      <c r="F81" s="31"/>
      <c r="G81" s="31"/>
      <c r="H81" s="20"/>
      <c r="I81" s="20"/>
      <c r="J81" s="13"/>
      <c r="K81" s="13"/>
      <c r="L81" s="64"/>
      <c r="M81" s="64"/>
      <c r="N81" s="64"/>
      <c r="O81" s="64"/>
      <c r="P81" s="64"/>
      <c r="Q81" s="64"/>
      <c r="R81" s="64"/>
      <c r="S81" s="64"/>
    </row>
    <row r="82" spans="1:19" x14ac:dyDescent="0.25">
      <c r="J82" s="13"/>
      <c r="K82" s="13"/>
      <c r="L82" s="64"/>
      <c r="M82" s="64"/>
      <c r="N82" s="64"/>
      <c r="O82" s="64"/>
      <c r="P82" s="64"/>
      <c r="Q82" s="64"/>
      <c r="R82" s="64"/>
      <c r="S82" s="64"/>
    </row>
    <row r="83" spans="1:19" x14ac:dyDescent="0.25">
      <c r="F83" s="3"/>
      <c r="G83" s="3"/>
      <c r="J83" s="13"/>
      <c r="K83" s="13"/>
      <c r="L83" s="64"/>
      <c r="M83" s="64"/>
      <c r="N83" s="64"/>
      <c r="O83" s="64"/>
      <c r="P83" s="64"/>
      <c r="Q83" s="64"/>
      <c r="R83" s="64"/>
      <c r="S83" s="64"/>
    </row>
    <row r="84" spans="1:19" x14ac:dyDescent="0.25">
      <c r="J84" s="13"/>
      <c r="K84" s="13"/>
      <c r="L84" s="13"/>
      <c r="M84" s="13"/>
      <c r="N84" s="13"/>
      <c r="O84" s="13"/>
      <c r="P84" s="13"/>
      <c r="Q84" s="13"/>
      <c r="R84" s="13"/>
      <c r="S84" s="13"/>
    </row>
    <row r="85" spans="1:19" x14ac:dyDescent="0.25">
      <c r="J85" s="13"/>
      <c r="K85" s="13"/>
      <c r="L85" s="13"/>
      <c r="M85" s="13"/>
      <c r="N85" s="13"/>
      <c r="O85" s="13"/>
      <c r="P85" s="13"/>
      <c r="Q85" s="13"/>
      <c r="R85" s="13"/>
      <c r="S85" s="13"/>
    </row>
    <row r="86" spans="1:19" x14ac:dyDescent="0.25">
      <c r="J86" s="13"/>
      <c r="K86" s="13"/>
      <c r="L86" s="13"/>
      <c r="M86" s="13"/>
      <c r="N86" s="13"/>
      <c r="O86" s="13"/>
      <c r="P86" s="13"/>
      <c r="Q86" s="13"/>
      <c r="R86" s="13"/>
      <c r="S86" s="13"/>
    </row>
    <row r="87" spans="1:19" x14ac:dyDescent="0.25">
      <c r="J87" s="13"/>
      <c r="K87" s="13"/>
      <c r="L87" s="13"/>
      <c r="M87" s="13"/>
      <c r="N87" s="13"/>
      <c r="O87" s="13"/>
      <c r="P87" s="13"/>
      <c r="Q87" s="13"/>
      <c r="R87" s="13"/>
      <c r="S87" s="13"/>
    </row>
    <row r="88" spans="1:19" ht="15" x14ac:dyDescent="0.25">
      <c r="C88" s="68"/>
      <c r="J88" s="13"/>
      <c r="K88" s="13"/>
      <c r="L88" s="13"/>
      <c r="M88" s="13"/>
      <c r="N88" s="13"/>
      <c r="O88" s="13"/>
      <c r="P88" s="13"/>
      <c r="Q88" s="13"/>
      <c r="R88" s="13"/>
      <c r="S88" s="13"/>
    </row>
    <row r="89" spans="1:19" x14ac:dyDescent="0.25">
      <c r="J89" s="13"/>
      <c r="K89" s="13"/>
      <c r="L89" s="13"/>
      <c r="M89" s="13"/>
      <c r="N89" s="13"/>
      <c r="O89" s="13"/>
      <c r="P89" s="13"/>
      <c r="Q89" s="13"/>
      <c r="R89" s="13"/>
      <c r="S89" s="13"/>
    </row>
    <row r="90" spans="1:19" x14ac:dyDescent="0.25">
      <c r="J90" s="13"/>
      <c r="K90" s="13"/>
      <c r="L90" s="13"/>
      <c r="M90" s="13"/>
      <c r="N90" s="13"/>
      <c r="O90" s="13"/>
      <c r="P90" s="13"/>
      <c r="Q90" s="13"/>
      <c r="R90" s="13"/>
      <c r="S90" s="13"/>
    </row>
    <row r="91" spans="1:19" x14ac:dyDescent="0.25">
      <c r="J91" s="13"/>
      <c r="K91" s="13"/>
      <c r="L91" s="13"/>
      <c r="M91" s="13"/>
      <c r="N91" s="13"/>
      <c r="O91" s="13"/>
      <c r="P91" s="13"/>
      <c r="Q91" s="13"/>
      <c r="R91" s="13"/>
      <c r="S91" s="13"/>
    </row>
    <row r="92" spans="1:19" x14ac:dyDescent="0.25">
      <c r="J92" s="13"/>
      <c r="K92" s="13"/>
      <c r="L92" s="13"/>
      <c r="M92" s="13"/>
      <c r="N92" s="13"/>
      <c r="O92" s="13"/>
      <c r="P92" s="13"/>
      <c r="Q92" s="13"/>
      <c r="R92" s="13"/>
      <c r="S92" s="13"/>
    </row>
    <row r="93" spans="1:19" x14ac:dyDescent="0.25">
      <c r="J93" s="13"/>
      <c r="K93" s="13"/>
      <c r="L93" s="13"/>
      <c r="M93" s="13"/>
      <c r="N93" s="13"/>
      <c r="O93" s="13"/>
      <c r="P93" s="13"/>
      <c r="Q93" s="13"/>
      <c r="R93" s="13"/>
      <c r="S93" s="13"/>
    </row>
    <row r="94" spans="1:19" x14ac:dyDescent="0.25">
      <c r="J94" s="13"/>
      <c r="K94" s="13"/>
      <c r="L94" s="13"/>
      <c r="M94" s="13"/>
      <c r="N94" s="13"/>
      <c r="O94" s="13"/>
      <c r="P94" s="13"/>
      <c r="Q94" s="13"/>
      <c r="R94" s="13"/>
      <c r="S94" s="13"/>
    </row>
    <row r="95" spans="1:19" ht="15" x14ac:dyDescent="0.25">
      <c r="D95" s="4"/>
      <c r="J95" s="13"/>
      <c r="K95" s="13"/>
      <c r="L95" s="13"/>
      <c r="M95" s="13"/>
      <c r="N95" s="13"/>
      <c r="O95" s="13"/>
      <c r="P95" s="13"/>
      <c r="Q95" s="13"/>
      <c r="R95" s="13"/>
      <c r="S95" s="13"/>
    </row>
    <row r="96" spans="1:19" x14ac:dyDescent="0.25">
      <c r="J96" s="13"/>
      <c r="K96" s="13"/>
      <c r="L96" s="13"/>
      <c r="M96" s="13"/>
      <c r="N96" s="13"/>
      <c r="O96" s="13"/>
      <c r="P96" s="13"/>
      <c r="Q96" s="13"/>
      <c r="R96" s="13"/>
      <c r="S96" s="13"/>
    </row>
    <row r="97" spans="10:19" x14ac:dyDescent="0.25">
      <c r="J97" s="13"/>
      <c r="K97" s="13"/>
      <c r="L97" s="13"/>
      <c r="M97" s="13"/>
      <c r="N97" s="13"/>
      <c r="O97" s="13"/>
      <c r="P97" s="13"/>
      <c r="Q97" s="13"/>
      <c r="R97" s="13"/>
      <c r="S97" s="13"/>
    </row>
    <row r="98" spans="10:19" x14ac:dyDescent="0.25">
      <c r="J98" s="13"/>
      <c r="K98" s="13"/>
      <c r="L98" s="13"/>
      <c r="M98" s="13"/>
      <c r="N98" s="13"/>
      <c r="O98" s="13"/>
      <c r="P98" s="13"/>
      <c r="Q98" s="13"/>
      <c r="R98" s="13"/>
      <c r="S98" s="13"/>
    </row>
    <row r="99" spans="10:19" x14ac:dyDescent="0.25">
      <c r="J99" s="13"/>
      <c r="K99" s="13"/>
      <c r="L99" s="13"/>
      <c r="M99" s="13"/>
      <c r="N99" s="13"/>
      <c r="O99" s="13"/>
      <c r="P99" s="13"/>
      <c r="Q99" s="13"/>
      <c r="R99" s="13"/>
      <c r="S99" s="13"/>
    </row>
    <row r="100" spans="10:19" x14ac:dyDescent="0.25">
      <c r="J100" s="13"/>
      <c r="K100" s="13"/>
      <c r="L100" s="13"/>
      <c r="M100" s="13"/>
      <c r="N100" s="13"/>
      <c r="O100" s="13"/>
      <c r="P100" s="13"/>
      <c r="Q100" s="13"/>
      <c r="R100" s="13"/>
      <c r="S100" s="13"/>
    </row>
    <row r="101" spans="10:19" x14ac:dyDescent="0.25">
      <c r="J101" s="13"/>
      <c r="K101" s="13"/>
      <c r="L101" s="13"/>
      <c r="M101" s="13"/>
      <c r="N101" s="13"/>
      <c r="O101" s="13"/>
      <c r="P101" s="13"/>
      <c r="Q101" s="13"/>
      <c r="R101" s="13"/>
      <c r="S101" s="13"/>
    </row>
    <row r="102" spans="10:19" x14ac:dyDescent="0.25">
      <c r="J102" s="13"/>
      <c r="K102" s="13"/>
      <c r="L102" s="13"/>
      <c r="M102" s="13"/>
      <c r="N102" s="13"/>
      <c r="O102" s="13"/>
      <c r="P102" s="13"/>
      <c r="Q102" s="13"/>
      <c r="R102" s="13"/>
      <c r="S102" s="13"/>
    </row>
    <row r="103" spans="10:19" x14ac:dyDescent="0.25">
      <c r="J103" s="13"/>
      <c r="K103" s="13"/>
      <c r="L103" s="13"/>
      <c r="M103" s="13"/>
      <c r="N103" s="13"/>
      <c r="O103" s="13"/>
      <c r="P103" s="13"/>
      <c r="Q103" s="13"/>
      <c r="R103" s="13"/>
      <c r="S103" s="13"/>
    </row>
    <row r="104" spans="10:19" x14ac:dyDescent="0.25">
      <c r="J104" s="13"/>
      <c r="K104" s="13"/>
      <c r="L104" s="13"/>
      <c r="M104" s="13"/>
      <c r="N104" s="13"/>
      <c r="O104" s="13"/>
      <c r="P104" s="13"/>
      <c r="Q104" s="13"/>
      <c r="R104" s="13"/>
      <c r="S104" s="13"/>
    </row>
    <row r="105" spans="10:19" x14ac:dyDescent="0.25">
      <c r="J105" s="13"/>
      <c r="K105" s="13"/>
      <c r="L105" s="13"/>
      <c r="M105" s="13"/>
      <c r="N105" s="13"/>
      <c r="O105" s="13"/>
      <c r="P105" s="13"/>
      <c r="Q105" s="13"/>
      <c r="R105" s="13"/>
      <c r="S105" s="13"/>
    </row>
    <row r="106" spans="10:19" x14ac:dyDescent="0.25">
      <c r="J106" s="13"/>
      <c r="K106" s="13"/>
      <c r="L106" s="13"/>
      <c r="M106" s="13"/>
      <c r="N106" s="13"/>
      <c r="O106" s="13"/>
      <c r="P106" s="13"/>
      <c r="Q106" s="13"/>
      <c r="R106" s="13"/>
      <c r="S106" s="13"/>
    </row>
    <row r="107" spans="10:19" x14ac:dyDescent="0.25">
      <c r="J107" s="13"/>
      <c r="K107" s="13"/>
      <c r="L107" s="13"/>
      <c r="M107" s="13"/>
      <c r="N107" s="13"/>
      <c r="O107" s="13"/>
      <c r="P107" s="13"/>
      <c r="Q107" s="13"/>
      <c r="R107" s="13"/>
      <c r="S107" s="13"/>
    </row>
    <row r="108" spans="10:19" x14ac:dyDescent="0.25">
      <c r="J108" s="13"/>
      <c r="K108" s="13"/>
      <c r="L108" s="13"/>
      <c r="M108" s="13"/>
      <c r="N108" s="13"/>
      <c r="O108" s="13"/>
      <c r="P108" s="13"/>
      <c r="Q108" s="13"/>
      <c r="R108" s="13"/>
      <c r="S108" s="13"/>
    </row>
    <row r="109" spans="10:19" x14ac:dyDescent="0.25">
      <c r="J109" s="13"/>
      <c r="K109" s="13"/>
      <c r="L109" s="13"/>
      <c r="M109" s="13"/>
      <c r="N109" s="13"/>
      <c r="O109" s="13"/>
      <c r="P109" s="13"/>
      <c r="Q109" s="13"/>
      <c r="R109" s="13"/>
      <c r="S109" s="13"/>
    </row>
    <row r="110" spans="10:19" x14ac:dyDescent="0.25">
      <c r="J110" s="13"/>
      <c r="K110" s="13"/>
      <c r="L110" s="13"/>
      <c r="M110" s="13"/>
      <c r="N110" s="13"/>
      <c r="O110" s="13"/>
      <c r="P110" s="13"/>
      <c r="Q110" s="13"/>
      <c r="R110" s="13"/>
      <c r="S110" s="13"/>
    </row>
    <row r="111" spans="10:19" x14ac:dyDescent="0.25">
      <c r="J111" s="13"/>
      <c r="K111" s="13"/>
      <c r="L111" s="13"/>
      <c r="M111" s="13"/>
      <c r="N111" s="13"/>
      <c r="O111" s="13"/>
      <c r="P111" s="13"/>
      <c r="Q111" s="13"/>
      <c r="R111" s="13"/>
      <c r="S111" s="13"/>
    </row>
    <row r="112" spans="10:19" x14ac:dyDescent="0.25">
      <c r="J112" s="13"/>
      <c r="K112" s="13"/>
      <c r="L112" s="13"/>
      <c r="M112" s="13"/>
      <c r="N112" s="13"/>
      <c r="O112" s="13"/>
      <c r="P112" s="13"/>
      <c r="Q112" s="13"/>
      <c r="R112" s="13"/>
      <c r="S112" s="13"/>
    </row>
    <row r="113" spans="10:19" x14ac:dyDescent="0.25">
      <c r="J113" s="13"/>
      <c r="K113" s="13"/>
      <c r="L113" s="13"/>
      <c r="M113" s="13"/>
      <c r="N113" s="13"/>
      <c r="O113" s="13"/>
      <c r="P113" s="13"/>
      <c r="Q113" s="13"/>
      <c r="R113" s="13"/>
      <c r="S113" s="13"/>
    </row>
    <row r="114" spans="10:19" x14ac:dyDescent="0.25">
      <c r="J114" s="13"/>
      <c r="K114" s="13"/>
      <c r="L114" s="13"/>
      <c r="M114" s="13"/>
      <c r="N114" s="13"/>
      <c r="O114" s="13"/>
      <c r="P114" s="13"/>
      <c r="Q114" s="13"/>
      <c r="R114" s="13"/>
      <c r="S114" s="13"/>
    </row>
    <row r="115" spans="10:19" x14ac:dyDescent="0.25">
      <c r="J115" s="13"/>
      <c r="K115" s="13"/>
      <c r="L115" s="13"/>
      <c r="M115" s="13"/>
      <c r="N115" s="13"/>
      <c r="O115" s="13"/>
      <c r="P115" s="13"/>
      <c r="Q115" s="13"/>
      <c r="R115" s="13"/>
      <c r="S115" s="13"/>
    </row>
    <row r="116" spans="10:19" x14ac:dyDescent="0.25">
      <c r="J116" s="13"/>
      <c r="K116" s="13"/>
      <c r="L116" s="13"/>
      <c r="M116" s="13"/>
      <c r="N116" s="13"/>
      <c r="O116" s="13"/>
      <c r="P116" s="13"/>
      <c r="Q116" s="13"/>
      <c r="R116" s="13"/>
      <c r="S116" s="13"/>
    </row>
    <row r="117" spans="10:19" x14ac:dyDescent="0.25">
      <c r="J117" s="13"/>
      <c r="K117" s="13"/>
      <c r="L117" s="13"/>
      <c r="M117" s="13"/>
      <c r="N117" s="13"/>
      <c r="O117" s="13"/>
      <c r="P117" s="13"/>
      <c r="Q117" s="13"/>
      <c r="R117" s="13"/>
      <c r="S117" s="13"/>
    </row>
    <row r="118" spans="10:19" x14ac:dyDescent="0.25">
      <c r="J118" s="13"/>
      <c r="K118" s="13"/>
      <c r="L118" s="13"/>
      <c r="M118" s="13"/>
      <c r="N118" s="13"/>
      <c r="O118" s="13"/>
      <c r="P118" s="13"/>
      <c r="Q118" s="13"/>
      <c r="R118" s="13"/>
      <c r="S118" s="13"/>
    </row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</sheetData>
  <sheetProtection selectLockedCells="1"/>
  <protectedRanges>
    <protectedRange sqref="L16 L54:L55" name="Lhůta provedení"/>
    <protectedRange sqref="C47:F52" name="Materiál"/>
    <protectedRange sqref="C16:D16" name="StavbaTermín"/>
    <protectedRange sqref="G4" name="Podklad"/>
    <protectedRange sqref="D6:D10" name="Objednatel"/>
    <protectedRange sqref="C78" name="Telefon"/>
    <protectedRange sqref="C57:C58" name="StavebniPripravenost"/>
    <protectedRange sqref="C20:F42" name="Činnost_1"/>
  </protectedRanges>
  <autoFilter ref="C13:G79" xr:uid="{55B46C5D-ADAB-42AE-98A3-057215BA7B09}"/>
  <mergeCells count="10">
    <mergeCell ref="B10:C10"/>
    <mergeCell ref="B8:C8"/>
    <mergeCell ref="B9:C9"/>
    <mergeCell ref="B6:C6"/>
    <mergeCell ref="B7:C7"/>
    <mergeCell ref="B2:D4"/>
    <mergeCell ref="E2:F2"/>
    <mergeCell ref="E3:F3"/>
    <mergeCell ref="E4:G4"/>
    <mergeCell ref="B5:C5"/>
  </mergeCells>
  <printOptions horizontalCentered="1" verticalCentered="1"/>
  <pageMargins left="0.23622047244094491" right="0.23622047244094491" top="0.19685039370078741" bottom="0.19685039370078741" header="0.31496062992125984" footer="0.31496062992125984"/>
  <pageSetup paperSize="9" scale="12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7366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Nabídka</vt:lpstr>
      <vt:lpstr>Zálohová Faktura</vt:lpstr>
      <vt:lpstr>Faktura</vt:lpstr>
      <vt:lpstr>Vystavené</vt:lpstr>
      <vt:lpstr>Nabídka!Print_Area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Michal Kopl</dc:creator>
  <cp:lastModifiedBy>Michal Kopl</cp:lastModifiedBy>
  <cp:revision>209</cp:revision>
  <cp:lastPrinted>2023-07-18T13:03:51Z</cp:lastPrinted>
  <dcterms:created xsi:type="dcterms:W3CDTF">2010-08-10T11:35:37Z</dcterms:created>
  <dcterms:modified xsi:type="dcterms:W3CDTF">2023-08-19T13:43:05Z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422dada7-442d-4af4-92e4-9857c6c54522</vt:lpwstr>
  </property>
</Properties>
</file>