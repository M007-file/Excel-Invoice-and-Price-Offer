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921e613bb5a70c0/Documents/_OSVČ/_papírování/2025/"/>
    </mc:Choice>
  </mc:AlternateContent>
  <xr:revisionPtr revIDLastSave="661" documentId="8_{A56DBEEF-82AE-4B24-8DE0-8A01124C1E0A}" xr6:coauthVersionLast="47" xr6:coauthVersionMax="47" xr10:uidLastSave="{AB9A9D27-F9B7-4D46-9367-962948EA282A}"/>
  <bookViews>
    <workbookView xWindow="-120" yWindow="-120" windowWidth="38640" windowHeight="21120" activeTab="1" xr2:uid="{00000000-000D-0000-FFFF-FFFF00000000}"/>
  </bookViews>
  <sheets>
    <sheet name="Nabídka" sheetId="1" r:id="rId1"/>
    <sheet name="Zálohová Faktura" sheetId="6" r:id="rId2"/>
    <sheet name="Faktura" sheetId="2" state="hidden" r:id="rId3"/>
    <sheet name="Vystavené" sheetId="3" r:id="rId4"/>
    <sheet name="Klienti" sheetId="7" r:id="rId5"/>
    <sheet name="QR_Config" sheetId="10" r:id="rId6"/>
  </sheets>
  <definedNames>
    <definedName name="_xlnm._FilterDatabase" localSheetId="3" hidden="1">Vystavené!$C$13:$G$79</definedName>
    <definedName name="_xleta.NA" hidden="1" xlm="1">#NAME?</definedName>
    <definedName name="_xleta.VALUE" hidden="1" xlm="1">#NAME?</definedName>
    <definedName name="_xlpm.base" hidden="1" xlm="1">#NAME?</definedName>
    <definedName name="_xlpm.baseClean" hidden="1" xlm="1">#NAME?</definedName>
    <definedName name="_xlpm.cAbs" hidden="1" xlm="1">#NAME?</definedName>
    <definedName name="_xlpm.ci" hidden="1" xlm="1">#NAME?</definedName>
    <definedName name="_xlpm.ciAbs" hidden="1" xlm="1">#NAME?</definedName>
    <definedName name="_xlpm.cleaned" hidden="1" xlm="1">#NAME?</definedName>
    <definedName name="_xlpm.cleanedRight" hidden="1" xlm="1">#NAME?</definedName>
    <definedName name="_xlpm.col" hidden="1" xlm="1">#NAME?</definedName>
    <definedName name="_xlpm.cols" hidden="1" xlm="1">#NAME?</definedName>
    <definedName name="_xlpm.fak" hidden="1" xlm="1">#NAME?</definedName>
    <definedName name="_xlpm.lst" hidden="1" xlm="1">#NAME?</definedName>
    <definedName name="_xlpm.m" hidden="1" xlm="1">#NAME?</definedName>
    <definedName name="_xlpm.nab" hidden="1" xlm="1">#NAME?</definedName>
    <definedName name="_xlpm.nb" hidden="1" xlm="1">#NAME?</definedName>
    <definedName name="_xlpm.nums" hidden="1" xlm="1">#NAME?</definedName>
    <definedName name="_xlpm.ones" hidden="1" xlm="1">#NAME?</definedName>
    <definedName name="_xlpm.r" hidden="1" xlm="1">#NAME?</definedName>
    <definedName name="_xlpm.rAbs" hidden="1" xlm="1">#NAME?</definedName>
    <definedName name="_xlpm.ri" hidden="1" xlm="1">#NAME?</definedName>
    <definedName name="_xlpm.riAbs" hidden="1" xlm="1">#NAME?</definedName>
    <definedName name="_xlpm.rightRow" hidden="1" xlm="1">#NAME?</definedName>
    <definedName name="_xlpm.rowsum" hidden="1" xlm="1">#NAME?</definedName>
    <definedName name="_xlpm.rt" hidden="1" xlm="1">#NAME?</definedName>
    <definedName name="_xlpm.rx" hidden="1" xlm="1">#NAME?</definedName>
    <definedName name="_xlpm.s" hidden="1" xlm="1">#NAME?</definedName>
    <definedName name="_xlpm.sel" hidden="1" xlm="1">#NAME?</definedName>
    <definedName name="Firmy">Klienti[Firma]</definedName>
    <definedName name="_xlnm.Print_Area" localSheetId="0">Nabídka!$A$1:$I$81</definedName>
    <definedName name="_xlnm.Print_Area" localSheetId="1">'Zálohová Faktura'!$A$1:$I$81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3" l="1"/>
  <c r="B2" i="1"/>
  <c r="L7" i="1"/>
  <c r="D6" i="1" s="1"/>
  <c r="F4" i="7"/>
  <c r="G78" i="1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B22" i="10"/>
  <c r="B2" i="10"/>
  <c r="L16" i="1"/>
  <c r="E16" i="2" s="1"/>
  <c r="C16" i="1"/>
  <c r="C16" i="6" s="1"/>
  <c r="L5" i="1"/>
  <c r="E4" i="2" s="1"/>
  <c r="E4" i="1"/>
  <c r="F3" i="7"/>
  <c r="L8" i="1"/>
  <c r="L9" i="1"/>
  <c r="L10" i="1"/>
  <c r="D8" i="1" s="1"/>
  <c r="L11" i="1"/>
  <c r="D9" i="1" s="1"/>
  <c r="L12" i="1"/>
  <c r="D10" i="1" s="1"/>
  <c r="F2" i="7"/>
  <c r="F5" i="7"/>
  <c r="B10" i="2"/>
  <c r="B10" i="6"/>
  <c r="B2" i="3"/>
  <c r="D16" i="1"/>
  <c r="B5" i="2"/>
  <c r="B5" i="6"/>
  <c r="B5" i="3"/>
  <c r="D5" i="2"/>
  <c r="D5" i="6"/>
  <c r="D5" i="1"/>
  <c r="B5" i="1"/>
  <c r="B9" i="3"/>
  <c r="B10" i="3"/>
  <c r="B7" i="3"/>
  <c r="B6" i="3"/>
  <c r="B7" i="2"/>
  <c r="B6" i="2"/>
  <c r="B10" i="1"/>
  <c r="B7" i="1"/>
  <c r="B6" i="1"/>
  <c r="B7" i="6"/>
  <c r="B6" i="6"/>
  <c r="Q10" i="1"/>
  <c r="B8" i="1" s="1"/>
  <c r="K13" i="3"/>
  <c r="F58" i="1"/>
  <c r="U13" i="1"/>
  <c r="C79" i="6"/>
  <c r="C77" i="6"/>
  <c r="G52" i="6"/>
  <c r="F52" i="6"/>
  <c r="E52" i="6"/>
  <c r="D52" i="6"/>
  <c r="C52" i="6"/>
  <c r="G51" i="6"/>
  <c r="F51" i="6"/>
  <c r="E51" i="6"/>
  <c r="D51" i="6"/>
  <c r="C51" i="6"/>
  <c r="G50" i="6"/>
  <c r="F50" i="6"/>
  <c r="E50" i="6"/>
  <c r="D50" i="6"/>
  <c r="C50" i="6"/>
  <c r="G49" i="6"/>
  <c r="F49" i="6"/>
  <c r="E49" i="6"/>
  <c r="D49" i="6"/>
  <c r="C49" i="6"/>
  <c r="G48" i="6"/>
  <c r="F48" i="6"/>
  <c r="E48" i="6"/>
  <c r="D48" i="6"/>
  <c r="C48" i="6"/>
  <c r="G47" i="6"/>
  <c r="F47" i="6"/>
  <c r="E47" i="6"/>
  <c r="D47" i="6"/>
  <c r="C47" i="6"/>
  <c r="G42" i="6"/>
  <c r="F42" i="6"/>
  <c r="E42" i="6"/>
  <c r="D42" i="6"/>
  <c r="C42" i="6"/>
  <c r="G41" i="6"/>
  <c r="F41" i="6"/>
  <c r="E41" i="6"/>
  <c r="D41" i="6"/>
  <c r="C41" i="6"/>
  <c r="G40" i="6"/>
  <c r="F40" i="6"/>
  <c r="E40" i="6"/>
  <c r="D40" i="6"/>
  <c r="C40" i="6"/>
  <c r="G39" i="6"/>
  <c r="F39" i="6"/>
  <c r="E39" i="6"/>
  <c r="D39" i="6"/>
  <c r="C39" i="6"/>
  <c r="G38" i="6"/>
  <c r="F38" i="6"/>
  <c r="E38" i="6"/>
  <c r="D38" i="6"/>
  <c r="C38" i="6"/>
  <c r="G37" i="6"/>
  <c r="F37" i="6"/>
  <c r="E37" i="6"/>
  <c r="D37" i="6"/>
  <c r="C37" i="6"/>
  <c r="G36" i="6"/>
  <c r="F36" i="6"/>
  <c r="E36" i="6"/>
  <c r="D36" i="6"/>
  <c r="C36" i="6"/>
  <c r="G35" i="6"/>
  <c r="F35" i="6"/>
  <c r="E35" i="6"/>
  <c r="D35" i="6"/>
  <c r="C35" i="6"/>
  <c r="G34" i="6"/>
  <c r="F34" i="6"/>
  <c r="E34" i="6"/>
  <c r="D34" i="6"/>
  <c r="C34" i="6"/>
  <c r="G33" i="6"/>
  <c r="F33" i="6"/>
  <c r="E33" i="6"/>
  <c r="D33" i="6"/>
  <c r="C33" i="6"/>
  <c r="G32" i="6"/>
  <c r="F32" i="6"/>
  <c r="E32" i="6"/>
  <c r="D32" i="6"/>
  <c r="C32" i="6"/>
  <c r="G31" i="6"/>
  <c r="F31" i="6"/>
  <c r="E31" i="6"/>
  <c r="D31" i="6"/>
  <c r="C31" i="6"/>
  <c r="G30" i="6"/>
  <c r="F30" i="6"/>
  <c r="E30" i="6"/>
  <c r="D30" i="6"/>
  <c r="C30" i="6"/>
  <c r="G29" i="6"/>
  <c r="F29" i="6"/>
  <c r="E29" i="6"/>
  <c r="D29" i="6"/>
  <c r="C29" i="6"/>
  <c r="G28" i="6"/>
  <c r="F28" i="6"/>
  <c r="E28" i="6"/>
  <c r="D28" i="6"/>
  <c r="C28" i="6"/>
  <c r="G27" i="6"/>
  <c r="F27" i="6"/>
  <c r="E27" i="6"/>
  <c r="D27" i="6"/>
  <c r="C27" i="6"/>
  <c r="G26" i="6"/>
  <c r="F26" i="6"/>
  <c r="E26" i="6"/>
  <c r="D26" i="6"/>
  <c r="C26" i="6"/>
  <c r="G25" i="6"/>
  <c r="F25" i="6"/>
  <c r="E25" i="6"/>
  <c r="D25" i="6"/>
  <c r="C25" i="6"/>
  <c r="G24" i="6"/>
  <c r="F24" i="6"/>
  <c r="E24" i="6"/>
  <c r="D24" i="6"/>
  <c r="C24" i="6"/>
  <c r="G23" i="6"/>
  <c r="F23" i="6"/>
  <c r="E23" i="6"/>
  <c r="D23" i="6"/>
  <c r="C23" i="6"/>
  <c r="G22" i="6"/>
  <c r="F22" i="6"/>
  <c r="E22" i="6"/>
  <c r="D22" i="6"/>
  <c r="C22" i="6"/>
  <c r="G21" i="6"/>
  <c r="F21" i="6"/>
  <c r="E21" i="6"/>
  <c r="D21" i="6"/>
  <c r="C21" i="6"/>
  <c r="G20" i="6"/>
  <c r="F20" i="6"/>
  <c r="E20" i="6"/>
  <c r="D20" i="6"/>
  <c r="C20" i="6"/>
  <c r="M3" i="6"/>
  <c r="C58" i="1"/>
  <c r="C57" i="1"/>
  <c r="G2" i="1"/>
  <c r="B9" i="2" l="1" a="1"/>
  <c r="B9" i="2" s="1"/>
  <c r="B2" i="2" a="1"/>
  <c r="B2" i="2" s="1"/>
  <c r="G2" i="2"/>
  <c r="G3" i="2" s="1"/>
  <c r="B5" i="10"/>
  <c r="E16" i="1"/>
  <c r="E16" i="6"/>
  <c r="B8" i="2"/>
  <c r="B8" i="6"/>
  <c r="B2" i="6" a="1"/>
  <c r="B2" i="6" s="1"/>
  <c r="K39" i="6" s="1" a="1"/>
  <c r="K39" i="6" s="1"/>
  <c r="E4" i="6"/>
  <c r="D7" i="1"/>
  <c r="B8" i="3"/>
  <c r="B9" i="6" a="1"/>
  <c r="B9" i="6" s="1"/>
  <c r="B9" i="1" a="1"/>
  <c r="B9" i="1" s="1"/>
  <c r="C78" i="6"/>
  <c r="G2" i="6"/>
  <c r="G3" i="6"/>
  <c r="E21" i="2"/>
  <c r="G3" i="3"/>
  <c r="G2" i="3"/>
  <c r="G7" i="3"/>
  <c r="F7" i="3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20" i="2"/>
  <c r="E20" i="2"/>
  <c r="F20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20" i="2"/>
  <c r="F47" i="2"/>
  <c r="F48" i="2"/>
  <c r="F49" i="2"/>
  <c r="F50" i="2"/>
  <c r="F51" i="2"/>
  <c r="F52" i="2"/>
  <c r="E47" i="2"/>
  <c r="E48" i="2"/>
  <c r="E49" i="2"/>
  <c r="E50" i="2"/>
  <c r="E51" i="2"/>
  <c r="E52" i="2"/>
  <c r="D47" i="2"/>
  <c r="D48" i="2"/>
  <c r="D50" i="2"/>
  <c r="D51" i="2"/>
  <c r="D52" i="2"/>
  <c r="D49" i="2"/>
  <c r="C50" i="2"/>
  <c r="C51" i="2"/>
  <c r="C52" i="2"/>
  <c r="C47" i="2"/>
  <c r="C48" i="2"/>
  <c r="C49" i="2"/>
  <c r="G49" i="2"/>
  <c r="G50" i="2"/>
  <c r="G51" i="2"/>
  <c r="G52" i="2"/>
  <c r="G47" i="2"/>
  <c r="G48" i="2"/>
  <c r="C79" i="2"/>
  <c r="C77" i="2"/>
  <c r="C78" i="2" l="1"/>
  <c r="C16" i="2"/>
  <c r="G22" i="1"/>
  <c r="G25" i="1"/>
  <c r="G41" i="1"/>
  <c r="G38" i="1"/>
  <c r="G33" i="1"/>
  <c r="G32" i="1"/>
  <c r="G40" i="1"/>
  <c r="G36" i="1"/>
  <c r="G42" i="1"/>
  <c r="C79" i="1"/>
  <c r="C77" i="1"/>
  <c r="G34" i="1"/>
  <c r="G23" i="1"/>
  <c r="D7" i="2" l="1"/>
  <c r="D7" i="6"/>
  <c r="D10" i="2"/>
  <c r="D10" i="6"/>
  <c r="D6" i="2"/>
  <c r="D6" i="6"/>
  <c r="D8" i="2"/>
  <c r="D8" i="6"/>
  <c r="D9" i="2"/>
  <c r="D9" i="6"/>
  <c r="G3" i="1"/>
  <c r="C78" i="1"/>
  <c r="G51" i="1"/>
  <c r="G20" i="1"/>
  <c r="G30" i="1"/>
  <c r="G24" i="1"/>
  <c r="G27" i="1"/>
  <c r="G47" i="1"/>
  <c r="G50" i="1"/>
  <c r="G52" i="1"/>
  <c r="G48" i="1"/>
  <c r="G49" i="1"/>
  <c r="G31" i="1"/>
  <c r="G37" i="1"/>
  <c r="G35" i="1"/>
  <c r="G21" i="1"/>
  <c r="G39" i="1"/>
  <c r="G26" i="1"/>
  <c r="G29" i="1"/>
  <c r="G28" i="1"/>
  <c r="G53" i="6" l="1"/>
  <c r="G43" i="6"/>
  <c r="D16" i="2"/>
  <c r="D16" i="6"/>
  <c r="G53" i="2"/>
  <c r="G43" i="2"/>
  <c r="G43" i="1"/>
  <c r="G53" i="1"/>
  <c r="G56" i="1" l="1"/>
  <c r="G57" i="1" s="1"/>
  <c r="G57" i="6" l="1"/>
  <c r="G58" i="1"/>
  <c r="E77" i="1" s="1"/>
  <c r="G57" i="2"/>
  <c r="F57" i="1" l="1"/>
  <c r="F58" i="6" s="1"/>
  <c r="G58" i="6"/>
  <c r="E77" i="6" s="1"/>
  <c r="G58" i="2"/>
  <c r="M53" i="6" a="1"/>
  <c r="M53" i="6" l="1"/>
  <c r="F58" i="2"/>
  <c r="B3" i="10" a="1"/>
  <c r="B3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<sst xmlns="http://schemas.openxmlformats.org/spreadsheetml/2006/main" count="261" uniqueCount="184">
  <si>
    <t>____________________________</t>
  </si>
  <si>
    <t>Cenová nabídka ze dne:</t>
  </si>
  <si>
    <t>Platnost nabídky do:</t>
  </si>
  <si>
    <t>1) Název projektu</t>
  </si>
  <si>
    <t>Místo</t>
  </si>
  <si>
    <t>Datum</t>
  </si>
  <si>
    <t>Činnost</t>
  </si>
  <si>
    <t>MJ</t>
  </si>
  <si>
    <t>Jednotek</t>
  </si>
  <si>
    <t>Cena</t>
  </si>
  <si>
    <t>Cena/MJ</t>
  </si>
  <si>
    <t>Celková cena činností:</t>
  </si>
  <si>
    <t>Účelně vynaložené náklady k proplacení</t>
  </si>
  <si>
    <t>Celkem vynaložené náklady:</t>
  </si>
  <si>
    <t>Celkem bez DPH:</t>
  </si>
  <si>
    <t>Platnost do (dnes + 30 dnů) - automatická kalkulace</t>
  </si>
  <si>
    <t>Celková cena za Činnosti - počítáno samo</t>
  </si>
  <si>
    <t>Celková cena za účelně vynaložené náklady je rovněž sečtena automaticky</t>
  </si>
  <si>
    <t>Automaticky sečtená výše celkové částky z Činností a Nákladů bez DPH.</t>
  </si>
  <si>
    <t>Obsah článků, obrázky ke zveřejnění, dokumenty ke zveřejnění.</t>
  </si>
  <si>
    <t>Fakturační údaje, Kontaktní údaje.</t>
  </si>
  <si>
    <t>Od této buňky (o jeden řádek výše a jeden sloupec doleva) se vše vybere pro uložení do formátu PDF. Cokoliv mimo tuto oblast nebude vytištěno (A4 formát).</t>
  </si>
  <si>
    <t>Oblast tisku je (A1:I81). Makro tiskne do PDF z aktuálních hodnot.</t>
  </si>
  <si>
    <t>Faktura ze dne:</t>
  </si>
  <si>
    <t>Splatnost faktury do:</t>
  </si>
  <si>
    <t>Celková cena nákladů:</t>
  </si>
  <si>
    <t>První faktura ze dne:</t>
  </si>
  <si>
    <t>Poslední faktura ze dne:</t>
  </si>
  <si>
    <t>Suma za výběr</t>
  </si>
  <si>
    <t>Celkem</t>
  </si>
  <si>
    <t>Číslo faktury</t>
  </si>
  <si>
    <t>Celkem s DPH</t>
  </si>
  <si>
    <t>Celkem bez DPH</t>
  </si>
  <si>
    <t>Datum faktury</t>
  </si>
  <si>
    <t>hodina</t>
  </si>
  <si>
    <t>C:\_DEV\</t>
  </si>
  <si>
    <t>Celková cena je zaokrouhlena na nejbližší celé Kč.</t>
  </si>
  <si>
    <t>Výsledný soubor PDF bude uložen do složky definované pod tlačítkem v buňce L33 (musí existovat, s právy k zápisu, jinak se objeví chyba a zpracování bude přerušeno). Cesta musí končit oddělovačem složek (znakem "/" anebo "\" - podle Operačního Systému). Soubor který bude vytvářen nesmí být otevřen v jiné aplikaci (např. Adobe Reader). Po dokončení běhu makra, se nový výsledný soubor PDF sám otevře v asociované aplikaci.</t>
  </si>
  <si>
    <t>Cena se vypočítá podle počtu množstevních jednotek a ceny za množstevní jednotku.</t>
  </si>
  <si>
    <t>Oblast tisku je (A1:I81) - nastaveno v makru. Makro tiskne do PDF z aktuálních hodnot.</t>
  </si>
  <si>
    <t>Potřebné dokumenty a informace:</t>
  </si>
  <si>
    <t>Celková cena i záloha, jsou zaokrouhleny na celé Kč.</t>
  </si>
  <si>
    <t>Vystavuje se před úhradou, proto má datum splatnosti.</t>
  </si>
  <si>
    <t>Seznam všech vydaných Faktur, spolu s jejich výšemi. Jedná se o Faktury konečné, tj. nikoliv Zálohové.</t>
  </si>
  <si>
    <t>Použitím filtrů na řádku 13, lze zvolit atributy pro celkovou kalkulaci Sumy za výběr. Celková suma je zobrazena stále.</t>
  </si>
  <si>
    <t>Michal Kopl, Kopl Pro</t>
  </si>
  <si>
    <t>Krškova 783/15, Praha 5 - Hlubočepy</t>
  </si>
  <si>
    <t>Česká Republika, 152 00</t>
  </si>
  <si>
    <t>michal@kopl.pro</t>
  </si>
  <si>
    <t>000000-1028895568/5500</t>
  </si>
  <si>
    <t>CZ5655000000001028895568</t>
  </si>
  <si>
    <t>https://www.kopl.pro</t>
  </si>
  <si>
    <t>Pokud nejsou vyplněny hodnoty ve všech sloupcích (C,D,E,F), ve sloupci G s cenou není zobrazeno nic.</t>
  </si>
  <si>
    <t>2) Odběratel</t>
  </si>
  <si>
    <t>Odběratel</t>
  </si>
  <si>
    <t>Praha, Česká Republika</t>
  </si>
  <si>
    <t>D15 a D16 jsou skryté formátem buňky ;;;</t>
  </si>
  <si>
    <t>Časový fond</t>
  </si>
  <si>
    <t>Školení</t>
  </si>
  <si>
    <t>Samostudium</t>
  </si>
  <si>
    <t>Tvorba návodů</t>
  </si>
  <si>
    <t>Správa systému Halo ITSM</t>
  </si>
  <si>
    <t>Firma</t>
  </si>
  <si>
    <t>Jednající</t>
  </si>
  <si>
    <t>Adresa</t>
  </si>
  <si>
    <t>Země</t>
  </si>
  <si>
    <t>Telefon</t>
  </si>
  <si>
    <t>e-mail</t>
  </si>
  <si>
    <t>web</t>
  </si>
  <si>
    <t>IČO</t>
  </si>
  <si>
    <t>BIZ DATA a.s.</t>
  </si>
  <si>
    <t>Táborská 31, Praha 4-Nusle</t>
  </si>
  <si>
    <t>Česká Republika</t>
  </si>
  <si>
    <t>PSČ</t>
  </si>
  <si>
    <t>https://www.bizdata.cz</t>
  </si>
  <si>
    <t>SVJ Krškova 783-784</t>
  </si>
  <si>
    <t>Ing. Vendula Mikolášová</t>
  </si>
  <si>
    <t>Krškova 783, Praha 5-Hlubočepy</t>
  </si>
  <si>
    <t>152 00</t>
  </si>
  <si>
    <t>140 00</t>
  </si>
  <si>
    <t>mikolasova@svjkrskova783-784.cz</t>
  </si>
  <si>
    <t>4) Dodavatel</t>
  </si>
  <si>
    <t>www.svjkrskova783-784.cz</t>
  </si>
  <si>
    <t>KEJA</t>
  </si>
  <si>
    <t>Ing. Ján Kertis</t>
  </si>
  <si>
    <t>kertis@keja.cz</t>
  </si>
  <si>
    <t>https://www.keja.cz</t>
  </si>
  <si>
    <t>Borského 1044, Praha 5 - Hlubočepy</t>
  </si>
  <si>
    <t>Projekt</t>
  </si>
  <si>
    <t>SVJ web</t>
  </si>
  <si>
    <t>Prezentace klávesové zkratky Windows 11</t>
  </si>
  <si>
    <t>Lokalita</t>
  </si>
  <si>
    <t>Full-remote</t>
  </si>
  <si>
    <t>IT Administrátorské a IT konzultační činnosti</t>
  </si>
  <si>
    <t>Aktualizace dokumentace</t>
  </si>
  <si>
    <t>Pavla Černá</t>
  </si>
  <si>
    <t>cerna@bizdata.cz</t>
  </si>
  <si>
    <t>Faktura</t>
  </si>
  <si>
    <t>Spojovací materiál pro montáž datových zásuvek - OBI - 20250814</t>
  </si>
  <si>
    <t>SEO audit orliklake.cz</t>
  </si>
  <si>
    <t>Biz Data a.s.</t>
  </si>
  <si>
    <t>Počet hodin</t>
  </si>
  <si>
    <t>Spojovací materiál - vruty do dřevotřísky - OBI - 20250815</t>
  </si>
  <si>
    <t>3) Detaily Odběratele (z listu Klienti)</t>
  </si>
  <si>
    <t>Česká Rpeublika</t>
  </si>
  <si>
    <t>Key</t>
  </si>
  <si>
    <t>Value</t>
  </si>
  <si>
    <t>ACC</t>
  </si>
  <si>
    <t>AM</t>
  </si>
  <si>
    <t>CC</t>
  </si>
  <si>
    <t>CZK</t>
  </si>
  <si>
    <t>MSG</t>
  </si>
  <si>
    <t>X-VS</t>
  </si>
  <si>
    <t>Body</t>
  </si>
  <si>
    <t>Eye</t>
  </si>
  <si>
    <t>EyeBall</t>
  </si>
  <si>
    <t>BGColor</t>
  </si>
  <si>
    <t>#FFFFFF</t>
  </si>
  <si>
    <t>BodyColor</t>
  </si>
  <si>
    <t>Eye1Color</t>
  </si>
  <si>
    <t>Eye2Color</t>
  </si>
  <si>
    <t>Eye3Color</t>
  </si>
  <si>
    <t>GradientOnEyes</t>
  </si>
  <si>
    <t>LogoURL</t>
  </si>
  <si>
    <t>https://vyzze.cz/images/kopl-logo.png</t>
  </si>
  <si>
    <t>LogoMode</t>
  </si>
  <si>
    <t>default</t>
  </si>
  <si>
    <t>SizePx</t>
  </si>
  <si>
    <t>Format</t>
  </si>
  <si>
    <t>png</t>
  </si>
  <si>
    <t>OutputPath</t>
  </si>
  <si>
    <t>C:\_DEV\Excel\spayd_qr.png</t>
  </si>
  <si>
    <t>TargetSheet</t>
  </si>
  <si>
    <t>TargetCell</t>
  </si>
  <si>
    <t>LogoScale</t>
  </si>
  <si>
    <t>0.3</t>
  </si>
  <si>
    <t>#000000</t>
  </si>
  <si>
    <t>ErrorCorrection</t>
  </si>
  <si>
    <t>RemoveBehindLogo</t>
  </si>
  <si>
    <t>H</t>
  </si>
  <si>
    <t>LastRequestJSON</t>
  </si>
  <si>
    <t>frame16</t>
  </si>
  <si>
    <t>ball19</t>
  </si>
  <si>
    <t>mosaic</t>
  </si>
  <si>
    <t>gradientColor1</t>
  </si>
  <si>
    <t>gradientColor2</t>
  </si>
  <si>
    <t>gradientType</t>
  </si>
  <si>
    <t>radial</t>
  </si>
  <si>
    <t>#FF0000</t>
  </si>
  <si>
    <t>#BD027C</t>
  </si>
  <si>
    <t>Zálohová Faktura</t>
  </si>
  <si>
    <t>PlaceWidthPx</t>
  </si>
  <si>
    <t>PlaceHeightRatio</t>
  </si>
  <si>
    <t>E62</t>
  </si>
  <si>
    <t>PlaceOffsetXPx</t>
  </si>
  <si>
    <t>PlaceOffsetYPx</t>
  </si>
  <si>
    <t>Měnit jen položky v zelených buňkách, činnosti či náklady a logo. Jinde jsou vzorce či texty. Konfigurace vzhledu QR kódu je v listu QR_Config, volající externí API QRCodeMonkey.com.</t>
  </si>
  <si>
    <t>KEJA web</t>
  </si>
  <si>
    <t>5) Doba trvání projektu - počet hodin - mění se v nabídce samo</t>
  </si>
  <si>
    <t>6) Přidat činnosti</t>
  </si>
  <si>
    <t>7) Upravovat pouze Činnosti, Množstevní Jednotky, Počet množstevních jednotek, Cenu za Množstevní Jednotku. Ve sloupci Cena je vzorec.</t>
  </si>
  <si>
    <t>8) Před tiskem by možná bylo dobré vše setřídit, ale není to nutné. Na funkci to nemá vliv.</t>
  </si>
  <si>
    <t>9) Potřebné dokumenty a informace (C57-C58)</t>
  </si>
  <si>
    <t>10) Vyplnit účelně vynaložené náklady stejným způsobem jako činnosti</t>
  </si>
  <si>
    <t>11) Upravovat pouze Činnosti, Množstevní Jednotky, Počet množstevních jednotek, Cenu za Množstevní Jednotku. Ve sloupci Cena je vzorec.</t>
  </si>
  <si>
    <t>12) Před tiskem by možná bylo dobré vše setřídit, ale není to nutné. Na funkci to nemá vliv.</t>
  </si>
  <si>
    <t>13) Sazba DPH použitá pro kalkulaci celkové částky včetně DPH</t>
  </si>
  <si>
    <t>14) Výše procentní zálohy používaná pro kalkulaci její výše (včetně DPH).</t>
  </si>
  <si>
    <t>Nabídka</t>
  </si>
  <si>
    <t>List</t>
  </si>
  <si>
    <t>Buňka pro Qrko</t>
  </si>
  <si>
    <t>E63</t>
  </si>
  <si>
    <t>Pavla Černá, za BIZ DATA a.s.</t>
  </si>
  <si>
    <t>0172025</t>
  </si>
  <si>
    <t>{"data":"SPD*1.0*ACC:CZ5655000000001028895568*AM:120538*CC:CZK*MSG:Biz Data a.s.*RN:Michal Kopl, Kopl Pro*X-VS:0172025","config":{"body":"mosaic","eye":"frame16","eyeBall":"ball19","bgColor":"#FFFFFF","colorLight":"#FFFFFF","bodyColor":"#000000","colorDark":"#000000","eye1Color":"#000000","eye2Color":"#000000","eye3Color":"#000000","gradientOnEyes":false,"errorCorrection":"H","logo":"https://vyzze.cz/images/kopl-logo.png","logoMode":"default","logoScale":0.3,"removeQrCodeBehindLogo":false,"gradientType":"radial","gradientColor1":"#FF0000","gradientColor2":"#BD027C"},"size":1200,"download":true,"file":"png"}</t>
  </si>
  <si>
    <t>Zapojování datových zásuvek - Hotel WE, PVA Letňany</t>
  </si>
  <si>
    <t>Pension Private-Inn</t>
  </si>
  <si>
    <t>Marta Kubíčková</t>
  </si>
  <si>
    <t>K Zahrádkám 46, Praha 5 -Stodůlky</t>
  </si>
  <si>
    <t>155 00</t>
  </si>
  <si>
    <t>info@private-inn.cz</t>
  </si>
  <si>
    <t>https://www.private-in.cz</t>
  </si>
  <si>
    <t>IČO: 03217213, Dodavatel není plátcem DPH dle § 6 zákona o DPH.</t>
  </si>
  <si>
    <t>Pavla Černá, BIZ DATA a.s.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</si>
</sst>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&quot;. &quot;m&quot;. &quot;yy"/>
    <numFmt numFmtId="165" formatCode="0.0"/>
    <numFmt numFmtId="166" formatCode="#,##0.00\ &quot;Kč&quot;"/>
    <numFmt numFmtId="167" formatCode="[$-405]d\.\ mmmm\ yyyy;@"/>
    <numFmt numFmtId="168" formatCode="d&quot;. &quot;m&quot;. &quot;yyyy"/>
    <numFmt numFmtId="169" formatCode="[$$-409]#,##0.00"/>
    <numFmt numFmtId="170" formatCode="#,##0\ &quot;Kč&quot;"/>
    <numFmt numFmtId="171" formatCode=";;;"/>
  </numFmts>
  <fonts count="38" x14ac:knownFonts="1">
    <font>
      <sz val="11"/>
      <color indexed="8"/>
      <name val="Calibri"/>
      <family val="2"/>
      <charset val="238"/>
    </font>
    <font>
      <u/>
      <sz val="11"/>
      <color rgb="FF0000FF"/>
      <name val="Calibri"/>
      <family val="2"/>
      <charset val="238"/>
    </font>
    <font>
      <b/>
      <i/>
      <sz val="16"/>
      <color rgb="FF000000"/>
      <name val="Calibri"/>
      <family val="2"/>
      <charset val="238"/>
    </font>
    <font>
      <u/>
      <sz val="11"/>
      <color theme="10"/>
      <name val="Calibri"/>
      <family val="2"/>
      <charset val="238"/>
    </font>
    <font>
      <u/>
      <sz val="12.6"/>
      <color rgb="FF0000FF"/>
      <name val="Calibri"/>
      <family val="2"/>
      <charset val="238"/>
    </font>
    <font>
      <b/>
      <i/>
      <u/>
      <sz val="11"/>
      <color rgb="FF000000"/>
      <name val="Calibri"/>
      <family val="2"/>
      <charset val="238"/>
    </font>
    <font>
      <b/>
      <sz val="11"/>
      <color rgb="FF000000"/>
      <name val="Arial"/>
      <family val="2"/>
      <charset val="238"/>
    </font>
    <font>
      <sz val="11"/>
      <color indexed="8"/>
      <name val="Arial"/>
      <family val="2"/>
      <charset val="238"/>
    </font>
    <font>
      <b/>
      <sz val="11"/>
      <color indexed="8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6"/>
      <color rgb="FF000000"/>
      <name val="Arial"/>
      <family val="2"/>
      <charset val="238"/>
    </font>
    <font>
      <b/>
      <sz val="10"/>
      <color indexed="8"/>
      <name val="Arial"/>
      <family val="2"/>
      <charset val="238"/>
    </font>
    <font>
      <b/>
      <sz val="14"/>
      <color rgb="FFFF0000"/>
      <name val="Arial"/>
      <family val="2"/>
    </font>
    <font>
      <b/>
      <u/>
      <sz val="11"/>
      <color indexed="8"/>
      <name val="Arial"/>
      <family val="2"/>
    </font>
    <font>
      <b/>
      <u/>
      <sz val="11"/>
      <color rgb="FF000000"/>
      <name val="Arial"/>
      <family val="2"/>
    </font>
    <font>
      <b/>
      <sz val="16"/>
      <color indexed="8"/>
      <name val="Arial"/>
      <family val="2"/>
      <charset val="238"/>
    </font>
    <font>
      <sz val="11"/>
      <name val="Arial"/>
      <family val="2"/>
      <charset val="238"/>
    </font>
    <font>
      <sz val="11"/>
      <name val="Calibri"/>
      <family val="2"/>
      <charset val="238"/>
    </font>
    <font>
      <sz val="11"/>
      <color rgb="FF006100"/>
      <name val="Calibri"/>
      <family val="2"/>
      <scheme val="minor"/>
    </font>
    <font>
      <b/>
      <u/>
      <sz val="11"/>
      <color indexed="8"/>
      <name val="Arial"/>
      <family val="2"/>
      <charset val="238"/>
    </font>
    <font>
      <b/>
      <sz val="14"/>
      <color rgb="FFFF0000"/>
      <name val="Calibri"/>
      <family val="2"/>
      <charset val="238"/>
    </font>
    <font>
      <sz val="11"/>
      <name val="Arial"/>
      <family val="2"/>
    </font>
    <font>
      <b/>
      <sz val="11"/>
      <name val="Arial"/>
      <family val="2"/>
    </font>
    <font>
      <b/>
      <u/>
      <sz val="11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FF0000"/>
      <name val="Arial"/>
      <family val="2"/>
      <charset val="238"/>
    </font>
    <font>
      <b/>
      <u/>
      <sz val="11"/>
      <color indexed="8"/>
      <name val="Calibri"/>
      <family val="2"/>
    </font>
    <font>
      <sz val="11"/>
      <color indexed="8"/>
      <name val="Arial"/>
      <family val="2"/>
    </font>
    <font>
      <sz val="11"/>
      <color theme="4" tint="-0.249977111117893"/>
      <name val="Arial"/>
      <family val="2"/>
    </font>
    <font>
      <b/>
      <sz val="11"/>
      <color rgb="FF000000"/>
      <name val="Arial"/>
      <family val="2"/>
    </font>
    <font>
      <b/>
      <sz val="12"/>
      <color rgb="FFFF0000"/>
      <name val="Arial"/>
      <family val="2"/>
    </font>
    <font>
      <sz val="8"/>
      <color indexed="8"/>
      <name val="Calibri"/>
      <family val="2"/>
      <charset val="238"/>
    </font>
    <font>
      <sz val="8"/>
      <color indexed="8"/>
      <name val="Calibri"/>
      <family val="2"/>
    </font>
    <font>
      <sz val="10"/>
      <color indexed="8"/>
      <name val="Calibri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theme="2"/>
      </right>
      <top style="thick">
        <color indexed="64"/>
      </top>
      <bottom/>
      <diagonal/>
    </border>
    <border>
      <left style="thick">
        <color indexed="64"/>
      </left>
      <right style="thick">
        <color theme="2"/>
      </right>
      <top/>
      <bottom/>
      <diagonal/>
    </border>
    <border>
      <left style="thick">
        <color indexed="64"/>
      </left>
      <right style="thick">
        <color theme="2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theme="2"/>
      </left>
      <right style="thin">
        <color indexed="64"/>
      </right>
      <top style="thick">
        <color indexed="64"/>
      </top>
      <bottom/>
      <diagonal/>
    </border>
    <border>
      <left style="thick">
        <color theme="2"/>
      </left>
      <right style="thin">
        <color indexed="64"/>
      </right>
      <top/>
      <bottom style="thick">
        <color indexed="64"/>
      </bottom>
      <diagonal/>
    </border>
  </borders>
  <cellStyleXfs count="9">
    <xf numFmtId="0" fontId="0" fillId="0" borderId="0"/>
    <xf numFmtId="0" fontId="1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 applyNumberFormat="0" applyFill="0" applyBorder="0" applyAlignment="0" applyProtection="0"/>
    <xf numFmtId="0" fontId="4" fillId="0" borderId="0"/>
    <xf numFmtId="0" fontId="5" fillId="0" borderId="0"/>
    <xf numFmtId="0" fontId="5" fillId="0" borderId="0"/>
    <xf numFmtId="0" fontId="18" fillId="3" borderId="0" applyNumberFormat="0" applyBorder="0" applyAlignment="0" applyProtection="0"/>
  </cellStyleXfs>
  <cellXfs count="243">
    <xf numFmtId="0" fontId="0" fillId="0" borderId="0" xfId="0"/>
    <xf numFmtId="0" fontId="7" fillId="2" borderId="0" xfId="0" applyFont="1" applyFill="1" applyAlignment="1">
      <alignment vertical="center"/>
    </xf>
    <xf numFmtId="0" fontId="7" fillId="2" borderId="2" xfId="0" applyFont="1" applyFill="1" applyBorder="1" applyAlignment="1">
      <alignment vertical="center"/>
    </xf>
    <xf numFmtId="1" fontId="7" fillId="2" borderId="0" xfId="0" applyNumberFormat="1" applyFont="1" applyFill="1" applyAlignment="1">
      <alignment vertical="center"/>
    </xf>
    <xf numFmtId="0" fontId="0" fillId="2" borderId="0" xfId="0" applyFill="1"/>
    <xf numFmtId="165" fontId="7" fillId="2" borderId="0" xfId="0" applyNumberFormat="1" applyFont="1" applyFill="1" applyAlignment="1">
      <alignment vertical="center"/>
    </xf>
    <xf numFmtId="3" fontId="7" fillId="2" borderId="0" xfId="1" applyNumberFormat="1" applyFont="1" applyFill="1" applyAlignment="1">
      <alignment horizontal="left" vertical="center"/>
    </xf>
    <xf numFmtId="166" fontId="7" fillId="2" borderId="0" xfId="0" applyNumberFormat="1" applyFont="1" applyFill="1" applyAlignment="1">
      <alignment vertical="center"/>
    </xf>
    <xf numFmtId="0" fontId="3" fillId="0" borderId="0" xfId="4" applyFill="1" applyBorder="1" applyAlignment="1">
      <alignment horizontal="center" vertical="center"/>
    </xf>
    <xf numFmtId="0" fontId="7" fillId="2" borderId="0" xfId="0" quotePrefix="1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6" fillId="2" borderId="1" xfId="0" applyFont="1" applyFill="1" applyBorder="1" applyAlignment="1">
      <alignment vertical="center"/>
    </xf>
    <xf numFmtId="168" fontId="7" fillId="2" borderId="0" xfId="0" applyNumberFormat="1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3" fillId="2" borderId="0" xfId="4" applyFill="1" applyBorder="1" applyAlignment="1">
      <alignment vertical="center"/>
    </xf>
    <xf numFmtId="0" fontId="9" fillId="0" borderId="3" xfId="4" applyFont="1" applyFill="1" applyBorder="1" applyAlignment="1">
      <alignment vertical="center"/>
    </xf>
    <xf numFmtId="0" fontId="7" fillId="0" borderId="0" xfId="0" applyFont="1" applyAlignment="1">
      <alignment vertical="center"/>
    </xf>
    <xf numFmtId="168" fontId="7" fillId="0" borderId="6" xfId="0" applyNumberFormat="1" applyFont="1" applyBorder="1" applyAlignment="1">
      <alignment horizontal="left" vertical="center"/>
    </xf>
    <xf numFmtId="0" fontId="7" fillId="0" borderId="5" xfId="0" applyFont="1" applyBorder="1" applyAlignment="1">
      <alignment vertical="center"/>
    </xf>
    <xf numFmtId="0" fontId="8" fillId="0" borderId="0" xfId="0" applyFont="1" applyAlignment="1">
      <alignment horizontal="right" vertical="center"/>
    </xf>
    <xf numFmtId="168" fontId="7" fillId="0" borderId="0" xfId="0" applyNumberFormat="1" applyFont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165" fontId="7" fillId="0" borderId="0" xfId="0" applyNumberFormat="1" applyFont="1" applyAlignment="1">
      <alignment vertical="center"/>
    </xf>
    <xf numFmtId="3" fontId="7" fillId="0" borderId="0" xfId="1" applyNumberFormat="1" applyFont="1" applyAlignment="1">
      <alignment horizontal="left" vertical="center"/>
    </xf>
    <xf numFmtId="0" fontId="7" fillId="0" borderId="8" xfId="0" applyFont="1" applyBorder="1" applyAlignment="1">
      <alignment vertical="center"/>
    </xf>
    <xf numFmtId="1" fontId="7" fillId="0" borderId="0" xfId="0" applyNumberFormat="1" applyFont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3" fontId="7" fillId="0" borderId="6" xfId="1" applyNumberFormat="1" applyFont="1" applyBorder="1" applyAlignment="1">
      <alignment horizontal="left" vertical="center"/>
    </xf>
    <xf numFmtId="1" fontId="7" fillId="0" borderId="6" xfId="0" applyNumberFormat="1" applyFont="1" applyBorder="1" applyAlignment="1">
      <alignment vertical="center"/>
    </xf>
    <xf numFmtId="0" fontId="7" fillId="0" borderId="0" xfId="1" applyFont="1" applyAlignment="1">
      <alignment horizontal="left" vertical="center"/>
    </xf>
    <xf numFmtId="0" fontId="8" fillId="0" borderId="0" xfId="0" applyFont="1" applyAlignment="1">
      <alignment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" fontId="7" fillId="0" borderId="2" xfId="0" applyNumberFormat="1" applyFont="1" applyBorder="1" applyAlignment="1">
      <alignment vertical="center"/>
    </xf>
    <xf numFmtId="1" fontId="8" fillId="0" borderId="2" xfId="0" applyNumberFormat="1" applyFont="1" applyBorder="1" applyAlignment="1">
      <alignment vertical="center"/>
    </xf>
    <xf numFmtId="0" fontId="6" fillId="0" borderId="0" xfId="0" applyFont="1" applyAlignment="1">
      <alignment horizontal="right" vertical="center"/>
    </xf>
    <xf numFmtId="166" fontId="8" fillId="0" borderId="0" xfId="0" applyNumberFormat="1" applyFont="1" applyAlignment="1">
      <alignment horizontal="right" vertical="center"/>
    </xf>
    <xf numFmtId="1" fontId="8" fillId="0" borderId="0" xfId="0" applyNumberFormat="1" applyFont="1" applyAlignment="1">
      <alignment horizontal="right" vertical="center"/>
    </xf>
    <xf numFmtId="1" fontId="8" fillId="0" borderId="0" xfId="0" applyNumberFormat="1" applyFont="1" applyAlignment="1">
      <alignment vertical="center"/>
    </xf>
    <xf numFmtId="2" fontId="8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3" fontId="7" fillId="0" borderId="0" xfId="0" applyNumberFormat="1" applyFont="1" applyAlignment="1">
      <alignment vertical="center"/>
    </xf>
    <xf numFmtId="166" fontId="8" fillId="0" borderId="0" xfId="0" applyNumberFormat="1" applyFont="1" applyAlignment="1">
      <alignment vertical="center"/>
    </xf>
    <xf numFmtId="0" fontId="8" fillId="0" borderId="2" xfId="0" applyFont="1" applyBorder="1" applyAlignment="1">
      <alignment vertical="center"/>
    </xf>
    <xf numFmtId="16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horizontal="center" vertical="center"/>
    </xf>
    <xf numFmtId="0" fontId="7" fillId="0" borderId="1" xfId="0" applyFont="1" applyBorder="1" applyAlignment="1">
      <alignment vertical="center"/>
    </xf>
    <xf numFmtId="165" fontId="7" fillId="0" borderId="1" xfId="0" applyNumberFormat="1" applyFont="1" applyBorder="1" applyAlignment="1">
      <alignment vertical="center"/>
    </xf>
    <xf numFmtId="1" fontId="7" fillId="0" borderId="1" xfId="0" applyNumberFormat="1" applyFont="1" applyBorder="1" applyAlignment="1">
      <alignment vertical="center"/>
    </xf>
    <xf numFmtId="0" fontId="21" fillId="2" borderId="0" xfId="0" applyFont="1" applyFill="1" applyAlignment="1">
      <alignment vertical="center"/>
    </xf>
    <xf numFmtId="0" fontId="22" fillId="2" borderId="0" xfId="0" applyFont="1" applyFill="1" applyAlignment="1">
      <alignment vertical="center" wrapText="1"/>
    </xf>
    <xf numFmtId="2" fontId="21" fillId="2" borderId="0" xfId="0" applyNumberFormat="1" applyFont="1" applyFill="1" applyAlignment="1">
      <alignment vertical="center"/>
    </xf>
    <xf numFmtId="0" fontId="23" fillId="2" borderId="0" xfId="0" applyFont="1" applyFill="1" applyAlignment="1">
      <alignment vertical="center"/>
    </xf>
    <xf numFmtId="0" fontId="3" fillId="2" borderId="0" xfId="4" applyFill="1" applyAlignment="1">
      <alignment vertical="center"/>
    </xf>
    <xf numFmtId="0" fontId="11" fillId="0" borderId="0" xfId="0" applyFont="1" applyAlignment="1">
      <alignment horizontal="right" vertical="center"/>
    </xf>
    <xf numFmtId="169" fontId="16" fillId="0" borderId="0" xfId="0" applyNumberFormat="1" applyFont="1" applyAlignment="1">
      <alignment horizontal="right" vertical="center"/>
    </xf>
    <xf numFmtId="169" fontId="7" fillId="2" borderId="0" xfId="0" applyNumberFormat="1" applyFont="1" applyFill="1" applyAlignment="1">
      <alignment vertical="center"/>
    </xf>
    <xf numFmtId="0" fontId="8" fillId="0" borderId="6" xfId="0" applyFont="1" applyBorder="1"/>
    <xf numFmtId="0" fontId="7" fillId="0" borderId="0" xfId="0" applyFont="1" applyAlignment="1">
      <alignment horizontal="left" vertical="center"/>
    </xf>
    <xf numFmtId="169" fontId="16" fillId="0" borderId="0" xfId="0" applyNumberFormat="1" applyFont="1" applyAlignment="1">
      <alignment vertical="center"/>
    </xf>
    <xf numFmtId="0" fontId="18" fillId="2" borderId="0" xfId="8" applyFill="1" applyBorder="1" applyAlignment="1">
      <alignment horizontal="center" vertical="center"/>
    </xf>
    <xf numFmtId="10" fontId="18" fillId="2" borderId="0" xfId="8" applyNumberFormat="1" applyFill="1" applyBorder="1" applyAlignment="1">
      <alignment horizontal="center" vertical="center"/>
    </xf>
    <xf numFmtId="0" fontId="9" fillId="0" borderId="1" xfId="4" applyFont="1" applyFill="1" applyBorder="1" applyAlignment="1">
      <alignment vertical="center"/>
    </xf>
    <xf numFmtId="0" fontId="12" fillId="2" borderId="0" xfId="0" applyFont="1" applyFill="1" applyAlignment="1">
      <alignment vertical="center" wrapText="1"/>
    </xf>
    <xf numFmtId="0" fontId="8" fillId="0" borderId="11" xfId="0" applyFont="1" applyBorder="1" applyAlignment="1">
      <alignment horizontal="right" vertical="center"/>
    </xf>
    <xf numFmtId="0" fontId="8" fillId="0" borderId="13" xfId="0" applyFont="1" applyBorder="1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17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8" fillId="0" borderId="12" xfId="0" applyFont="1" applyBorder="1" applyAlignment="1">
      <alignment horizontal="right" vertical="center"/>
    </xf>
    <xf numFmtId="0" fontId="24" fillId="0" borderId="7" xfId="0" applyFont="1" applyBorder="1" applyAlignment="1">
      <alignment vertical="center"/>
    </xf>
    <xf numFmtId="0" fontId="24" fillId="0" borderId="0" xfId="0" applyFont="1" applyAlignment="1">
      <alignment vertical="center"/>
    </xf>
    <xf numFmtId="3" fontId="24" fillId="0" borderId="0" xfId="1" applyNumberFormat="1" applyFont="1" applyAlignment="1">
      <alignment horizontal="left" vertical="center"/>
    </xf>
    <xf numFmtId="1" fontId="24" fillId="0" borderId="0" xfId="0" applyNumberFormat="1" applyFont="1" applyAlignment="1">
      <alignment vertical="center"/>
    </xf>
    <xf numFmtId="0" fontId="24" fillId="0" borderId="2" xfId="0" applyFont="1" applyBorder="1" applyAlignment="1">
      <alignment vertical="center"/>
    </xf>
    <xf numFmtId="1" fontId="24" fillId="0" borderId="2" xfId="0" applyNumberFormat="1" applyFont="1" applyBorder="1" applyAlignment="1">
      <alignment vertical="center"/>
    </xf>
    <xf numFmtId="0" fontId="24" fillId="0" borderId="2" xfId="0" applyFont="1" applyBorder="1"/>
    <xf numFmtId="0" fontId="24" fillId="0" borderId="8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24" fillId="0" borderId="1" xfId="0" applyFont="1" applyBorder="1" applyAlignment="1">
      <alignment horizontal="center" vertical="center"/>
    </xf>
    <xf numFmtId="0" fontId="0" fillId="2" borderId="0" xfId="0" quotePrefix="1" applyFill="1"/>
    <xf numFmtId="14" fontId="24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left" vertical="center"/>
    </xf>
    <xf numFmtId="0" fontId="0" fillId="0" borderId="8" xfId="0" applyBorder="1"/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24" fillId="4" borderId="0" xfId="0" applyFont="1" applyFill="1" applyAlignment="1" applyProtection="1">
      <alignment horizontal="left"/>
      <protection locked="0"/>
    </xf>
    <xf numFmtId="0" fontId="24" fillId="4" borderId="0" xfId="0" applyFont="1" applyFill="1" applyAlignment="1" applyProtection="1">
      <alignment horizontal="center"/>
      <protection locked="0"/>
    </xf>
    <xf numFmtId="0" fontId="24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14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168" fontId="24" fillId="0" borderId="0" xfId="0" applyNumberFormat="1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14" fontId="26" fillId="0" borderId="0" xfId="0" applyNumberFormat="1" applyFont="1" applyAlignment="1">
      <alignment horizontal="center" vertical="center"/>
    </xf>
    <xf numFmtId="166" fontId="24" fillId="0" borderId="0" xfId="0" applyNumberFormat="1" applyFont="1" applyAlignment="1">
      <alignment horizontal="center"/>
    </xf>
    <xf numFmtId="3" fontId="24" fillId="0" borderId="0" xfId="0" applyNumberFormat="1" applyFont="1" applyAlignment="1">
      <alignment horizontal="center" vertical="center"/>
    </xf>
    <xf numFmtId="0" fontId="24" fillId="0" borderId="0" xfId="0" quotePrefix="1" applyFont="1" applyAlignment="1">
      <alignment horizontal="left" vertical="center"/>
    </xf>
    <xf numFmtId="0" fontId="27" fillId="0" borderId="0" xfId="4" applyFont="1" applyFill="1" applyBorder="1" applyAlignment="1" applyProtection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14" fontId="7" fillId="0" borderId="6" xfId="0" applyNumberFormat="1" applyFont="1" applyBorder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7" fillId="0" borderId="0" xfId="0" applyNumberFormat="1" applyFont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170" fontId="16" fillId="0" borderId="5" xfId="0" applyNumberFormat="1" applyFont="1" applyBorder="1" applyAlignment="1">
      <alignment horizontal="center" vertical="center"/>
    </xf>
    <xf numFmtId="170" fontId="16" fillId="0" borderId="2" xfId="0" applyNumberFormat="1" applyFont="1" applyBorder="1" applyAlignment="1">
      <alignment horizontal="center" vertical="center"/>
    </xf>
    <xf numFmtId="170" fontId="16" fillId="0" borderId="3" xfId="0" applyNumberFormat="1" applyFont="1" applyBorder="1" applyAlignment="1">
      <alignment horizontal="center" vertical="center"/>
    </xf>
    <xf numFmtId="170" fontId="7" fillId="0" borderId="0" xfId="0" applyNumberFormat="1" applyFont="1" applyAlignment="1">
      <alignment horizontal="center" vertical="center"/>
    </xf>
    <xf numFmtId="170" fontId="24" fillId="0" borderId="0" xfId="0" applyNumberFormat="1" applyFont="1" applyAlignment="1">
      <alignment horizontal="center"/>
    </xf>
    <xf numFmtId="170" fontId="24" fillId="0" borderId="0" xfId="0" applyNumberFormat="1" applyFont="1" applyAlignment="1">
      <alignment horizontal="center" vertical="center"/>
    </xf>
    <xf numFmtId="170" fontId="25" fillId="0" borderId="0" xfId="0" applyNumberFormat="1" applyFont="1" applyAlignment="1">
      <alignment horizontal="center" vertical="center"/>
    </xf>
    <xf numFmtId="170" fontId="24" fillId="0" borderId="1" xfId="0" applyNumberFormat="1" applyFont="1" applyBorder="1" applyAlignment="1">
      <alignment horizontal="center" vertical="center"/>
    </xf>
    <xf numFmtId="0" fontId="11" fillId="0" borderId="19" xfId="0" applyFont="1" applyBorder="1" applyAlignment="1">
      <alignment horizontal="right" vertical="center"/>
    </xf>
    <xf numFmtId="0" fontId="11" fillId="0" borderId="20" xfId="0" applyFont="1" applyBorder="1" applyAlignment="1">
      <alignment horizontal="right" vertical="center"/>
    </xf>
    <xf numFmtId="0" fontId="11" fillId="0" borderId="21" xfId="0" applyFont="1" applyBorder="1" applyAlignment="1">
      <alignment horizontal="right" vertical="center"/>
    </xf>
    <xf numFmtId="0" fontId="11" fillId="0" borderId="23" xfId="0" applyFont="1" applyBorder="1" applyAlignment="1">
      <alignment horizontal="right" vertical="center"/>
    </xf>
    <xf numFmtId="0" fontId="11" fillId="0" borderId="24" xfId="0" applyFont="1" applyBorder="1" applyAlignment="1">
      <alignment horizontal="right" vertical="center"/>
    </xf>
    <xf numFmtId="0" fontId="18" fillId="3" borderId="14" xfId="8" applyBorder="1" applyAlignment="1" applyProtection="1">
      <alignment horizontal="center" vertical="center"/>
      <protection locked="0"/>
    </xf>
    <xf numFmtId="10" fontId="18" fillId="3" borderId="14" xfId="8" applyNumberFormat="1" applyBorder="1" applyAlignment="1" applyProtection="1">
      <alignment horizontal="center" vertical="center"/>
      <protection locked="0"/>
    </xf>
    <xf numFmtId="10" fontId="18" fillId="3" borderId="18" xfId="8" applyNumberFormat="1" applyBorder="1" applyAlignment="1" applyProtection="1">
      <alignment horizontal="center" vertical="center"/>
      <protection locked="0"/>
    </xf>
    <xf numFmtId="0" fontId="18" fillId="3" borderId="14" xfId="8" applyBorder="1" applyAlignment="1">
      <alignment horizontal="center" vertical="center"/>
    </xf>
    <xf numFmtId="0" fontId="7" fillId="0" borderId="0" xfId="0" applyFont="1"/>
    <xf numFmtId="0" fontId="7" fillId="0" borderId="5" xfId="0" applyFont="1" applyBorder="1"/>
    <xf numFmtId="0" fontId="7" fillId="2" borderId="0" xfId="0" applyFont="1" applyFill="1"/>
    <xf numFmtId="167" fontId="7" fillId="2" borderId="0" xfId="0" applyNumberFormat="1" applyFont="1" applyFill="1"/>
    <xf numFmtId="0" fontId="20" fillId="2" borderId="0" xfId="0" applyFont="1" applyFill="1" applyAlignment="1">
      <alignment horizontal="left" vertical="top" wrapText="1"/>
    </xf>
    <xf numFmtId="14" fontId="29" fillId="2" borderId="0" xfId="0" applyNumberFormat="1" applyFont="1" applyFill="1"/>
    <xf numFmtId="165" fontId="13" fillId="0" borderId="0" xfId="0" applyNumberFormat="1" applyFont="1" applyAlignment="1">
      <alignment horizontal="center" vertical="center"/>
    </xf>
    <xf numFmtId="166" fontId="16" fillId="0" borderId="5" xfId="0" applyNumberFormat="1" applyFont="1" applyBorder="1" applyAlignment="1">
      <alignment horizontal="center" vertical="center"/>
    </xf>
    <xf numFmtId="0" fontId="30" fillId="2" borderId="0" xfId="0" applyFont="1" applyFill="1"/>
    <xf numFmtId="0" fontId="13" fillId="2" borderId="0" xfId="0" applyFont="1" applyFill="1"/>
    <xf numFmtId="171" fontId="8" fillId="0" borderId="0" xfId="0" applyNumberFormat="1" applyFont="1" applyAlignment="1">
      <alignment horizontal="center" vertical="center"/>
    </xf>
    <xf numFmtId="171" fontId="7" fillId="0" borderId="0" xfId="0" applyNumberFormat="1" applyFont="1" applyAlignment="1">
      <alignment horizontal="right" vertical="center"/>
    </xf>
    <xf numFmtId="171" fontId="7" fillId="0" borderId="0" xfId="0" applyNumberFormat="1" applyFont="1" applyAlignment="1">
      <alignment horizontal="center" vertical="center"/>
    </xf>
    <xf numFmtId="3" fontId="0" fillId="0" borderId="0" xfId="0" applyNumberFormat="1"/>
    <xf numFmtId="166" fontId="30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vertical="top"/>
    </xf>
    <xf numFmtId="0" fontId="28" fillId="2" borderId="0" xfId="0" applyFont="1" applyFill="1" applyAlignment="1">
      <alignment horizontal="left" vertical="center" wrapText="1"/>
    </xf>
    <xf numFmtId="0" fontId="8" fillId="0" borderId="9" xfId="0" applyFont="1" applyBorder="1" applyAlignment="1">
      <alignment horizontal="right" vertical="center"/>
    </xf>
    <xf numFmtId="0" fontId="8" fillId="0" borderId="22" xfId="0" applyFont="1" applyBorder="1" applyAlignment="1">
      <alignment horizontal="right" vertical="center"/>
    </xf>
    <xf numFmtId="0" fontId="8" fillId="0" borderId="7" xfId="0" applyFont="1" applyBorder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8" fillId="0" borderId="4" xfId="0" applyFont="1" applyBorder="1" applyAlignment="1">
      <alignment horizontal="right" vertical="center"/>
    </xf>
    <xf numFmtId="0" fontId="8" fillId="0" borderId="6" xfId="0" applyFont="1" applyBorder="1" applyAlignment="1">
      <alignment horizontal="right" vertical="center"/>
    </xf>
    <xf numFmtId="0" fontId="8" fillId="0" borderId="8" xfId="0" applyFont="1" applyBorder="1" applyAlignment="1">
      <alignment horizontal="right" vertical="center"/>
    </xf>
    <xf numFmtId="0" fontId="8" fillId="0" borderId="1" xfId="0" applyFont="1" applyBorder="1" applyAlignment="1">
      <alignment horizontal="right" vertical="center"/>
    </xf>
    <xf numFmtId="0" fontId="0" fillId="2" borderId="0" xfId="0" applyFill="1" applyAlignment="1">
      <alignment horizontal="center"/>
    </xf>
    <xf numFmtId="0" fontId="13" fillId="2" borderId="0" xfId="0" applyFont="1" applyFill="1" applyAlignment="1">
      <alignment horizontal="center"/>
    </xf>
    <xf numFmtId="0" fontId="8" fillId="0" borderId="4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18" fillId="3" borderId="15" xfId="8" applyBorder="1" applyAlignment="1" applyProtection="1">
      <alignment horizontal="center" vertical="center"/>
      <protection locked="0"/>
    </xf>
    <xf numFmtId="0" fontId="18" fillId="3" borderId="17" xfId="8" applyBorder="1" applyAlignment="1" applyProtection="1">
      <alignment horizontal="center" vertical="center"/>
      <protection locked="0"/>
    </xf>
    <xf numFmtId="0" fontId="10" fillId="0" borderId="0" xfId="2" applyFont="1" applyAlignment="1">
      <alignment horizontal="left" vertical="center"/>
    </xf>
    <xf numFmtId="0" fontId="10" fillId="0" borderId="2" xfId="2" applyFont="1" applyBorder="1" applyAlignment="1">
      <alignment horizontal="left" vertical="center"/>
    </xf>
    <xf numFmtId="0" fontId="32" fillId="0" borderId="9" xfId="0" applyFont="1" applyBorder="1" applyAlignment="1">
      <alignment horizontal="right" vertical="center"/>
    </xf>
    <xf numFmtId="0" fontId="32" fillId="0" borderId="22" xfId="0" applyFont="1" applyBorder="1" applyAlignment="1">
      <alignment horizontal="right" vertical="center"/>
    </xf>
    <xf numFmtId="0" fontId="8" fillId="0" borderId="5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165" fontId="7" fillId="0" borderId="7" xfId="0" applyNumberFormat="1" applyFont="1" applyBorder="1" applyAlignment="1">
      <alignment vertical="center"/>
    </xf>
    <xf numFmtId="165" fontId="7" fillId="0" borderId="0" xfId="0" applyNumberFormat="1" applyFont="1" applyAlignment="1">
      <alignment vertical="center"/>
    </xf>
    <xf numFmtId="0" fontId="19" fillId="2" borderId="0" xfId="0" applyFont="1" applyFill="1" applyAlignment="1">
      <alignment horizontal="center" vertical="center"/>
    </xf>
    <xf numFmtId="3" fontId="7" fillId="0" borderId="7" xfId="1" applyNumberFormat="1" applyFont="1" applyBorder="1" applyAlignment="1">
      <alignment horizontal="left" vertical="center"/>
    </xf>
    <xf numFmtId="3" fontId="7" fillId="0" borderId="0" xfId="1" applyNumberFormat="1" applyFont="1" applyAlignment="1">
      <alignment horizontal="left" vertical="center"/>
    </xf>
    <xf numFmtId="0" fontId="18" fillId="3" borderId="4" xfId="8" applyBorder="1" applyAlignment="1" applyProtection="1">
      <alignment horizontal="center" vertical="center"/>
      <protection locked="0"/>
    </xf>
    <xf numFmtId="0" fontId="18" fillId="3" borderId="6" xfId="8" applyBorder="1" applyAlignment="1" applyProtection="1">
      <alignment horizontal="center" vertical="center"/>
      <protection locked="0"/>
    </xf>
    <xf numFmtId="0" fontId="18" fillId="3" borderId="5" xfId="8" applyBorder="1" applyAlignment="1" applyProtection="1">
      <alignment horizontal="center" vertical="center"/>
      <protection locked="0"/>
    </xf>
    <xf numFmtId="0" fontId="18" fillId="3" borderId="7" xfId="8" applyBorder="1" applyAlignment="1" applyProtection="1">
      <alignment horizontal="center" vertical="center"/>
      <protection locked="0"/>
    </xf>
    <xf numFmtId="0" fontId="18" fillId="3" borderId="0" xfId="8" applyBorder="1" applyAlignment="1" applyProtection="1">
      <alignment horizontal="center" vertical="center"/>
      <protection locked="0"/>
    </xf>
    <xf numFmtId="0" fontId="18" fillId="3" borderId="2" xfId="8" applyBorder="1" applyAlignment="1" applyProtection="1">
      <alignment horizontal="center" vertical="center"/>
      <protection locked="0"/>
    </xf>
    <xf numFmtId="0" fontId="18" fillId="3" borderId="15" xfId="8" applyBorder="1" applyAlignment="1">
      <alignment horizontal="center"/>
    </xf>
    <xf numFmtId="0" fontId="18" fillId="3" borderId="16" xfId="8" applyBorder="1" applyAlignment="1">
      <alignment horizontal="center"/>
    </xf>
    <xf numFmtId="0" fontId="18" fillId="3" borderId="17" xfId="8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8" fillId="3" borderId="4" xfId="8" applyBorder="1" applyAlignment="1">
      <alignment horizontal="left" vertical="center" wrapText="1"/>
    </xf>
    <xf numFmtId="0" fontId="18" fillId="3" borderId="6" xfId="8" applyBorder="1" applyAlignment="1">
      <alignment horizontal="left" vertical="center" wrapText="1"/>
    </xf>
    <xf numFmtId="0" fontId="18" fillId="3" borderId="5" xfId="8" applyBorder="1" applyAlignment="1">
      <alignment horizontal="left" vertical="center" wrapText="1"/>
    </xf>
    <xf numFmtId="0" fontId="18" fillId="3" borderId="8" xfId="8" applyBorder="1" applyAlignment="1">
      <alignment horizontal="left" vertical="center" wrapText="1"/>
    </xf>
    <xf numFmtId="0" fontId="18" fillId="3" borderId="1" xfId="8" applyBorder="1" applyAlignment="1">
      <alignment horizontal="left" vertical="center" wrapText="1"/>
    </xf>
    <xf numFmtId="0" fontId="18" fillId="3" borderId="3" xfId="8" applyBorder="1" applyAlignment="1">
      <alignment horizontal="left" vertical="center" wrapText="1"/>
    </xf>
    <xf numFmtId="0" fontId="18" fillId="3" borderId="8" xfId="8" applyBorder="1" applyAlignment="1" applyProtection="1">
      <alignment horizontal="center" vertical="center"/>
      <protection locked="0"/>
    </xf>
    <xf numFmtId="0" fontId="18" fillId="3" borderId="1" xfId="8" applyBorder="1" applyAlignment="1" applyProtection="1">
      <alignment horizontal="center" vertical="center"/>
      <protection locked="0"/>
    </xf>
    <xf numFmtId="0" fontId="18" fillId="3" borderId="3" xfId="8" applyBorder="1" applyAlignment="1" applyProtection="1">
      <alignment horizontal="center" vertical="center"/>
      <protection locked="0"/>
    </xf>
    <xf numFmtId="0" fontId="18" fillId="2" borderId="0" xfId="8" applyFill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8" fillId="2" borderId="0" xfId="8" applyFill="1" applyBorder="1" applyAlignment="1">
      <alignment horizontal="center" vertical="center"/>
    </xf>
    <xf numFmtId="167" fontId="18" fillId="2" borderId="0" xfId="8" applyNumberFormat="1" applyFill="1" applyBorder="1" applyAlignment="1">
      <alignment horizontal="center" vertical="center"/>
    </xf>
    <xf numFmtId="0" fontId="3" fillId="2" borderId="0" xfId="4" applyFill="1" applyBorder="1" applyAlignment="1">
      <alignment horizontal="center" vertical="center"/>
    </xf>
    <xf numFmtId="0" fontId="20" fillId="2" borderId="0" xfId="0" applyFont="1" applyFill="1" applyAlignment="1">
      <alignment horizontal="left" vertical="center" wrapText="1"/>
    </xf>
    <xf numFmtId="0" fontId="6" fillId="0" borderId="9" xfId="0" applyFont="1" applyBorder="1" applyAlignment="1">
      <alignment horizontal="right" vertical="center"/>
    </xf>
    <xf numFmtId="0" fontId="6" fillId="0" borderId="22" xfId="0" applyFont="1" applyBorder="1" applyAlignment="1">
      <alignment horizontal="right" vertical="center"/>
    </xf>
    <xf numFmtId="0" fontId="8" fillId="0" borderId="8" xfId="0" applyFont="1" applyBorder="1" applyAlignment="1">
      <alignment horizontal="center" vertical="top"/>
    </xf>
    <xf numFmtId="0" fontId="8" fillId="0" borderId="1" xfId="0" applyFont="1" applyBorder="1" applyAlignment="1">
      <alignment horizontal="center" vertical="top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2" borderId="0" xfId="0" applyFill="1"/>
    <xf numFmtId="0" fontId="12" fillId="2" borderId="0" xfId="0" applyFont="1" applyFill="1" applyAlignment="1">
      <alignment horizontal="left" vertical="center" wrapText="1"/>
    </xf>
    <xf numFmtId="0" fontId="33" fillId="2" borderId="0" xfId="0" applyFont="1" applyFill="1" applyAlignment="1">
      <alignment horizontal="left" vertical="center" wrapText="1"/>
    </xf>
    <xf numFmtId="0" fontId="0" fillId="0" borderId="0" xfId="0" applyAlignment="1">
      <alignment horizontal="right"/>
    </xf>
    <xf numFmtId="0" fontId="34" fillId="0" borderId="0" xfId="0" applyFont="1" applyAlignment="1">
      <alignment horizontal="right"/>
    </xf>
    <xf numFmtId="1" fontId="35" fillId="0" borderId="0" xfId="0" applyNumberFormat="1" applyFont="1" applyAlignment="1">
      <alignment horizontal="right" vertical="center"/>
    </xf>
    <xf numFmtId="0" fontId="0" fillId="0" borderId="0" xfId="0" quotePrefix="1"/>
    <xf numFmtId="0" fontId="17" fillId="0" borderId="0" xfId="0" applyFont="1" applyAlignment="1">
      <alignment vertical="top"/>
    </xf>
    <xf numFmtId="49" fontId="0" fillId="0" borderId="0" xfId="0" applyNumberFormat="1" applyAlignment="1">
      <alignment horizontal="left" vertical="top"/>
    </xf>
    <xf numFmtId="1" fontId="35" fillId="0" borderId="0" xfId="0" applyNumberFormat="1" applyFont="1" applyAlignment="1">
      <alignment horizontal="right" vertical="top"/>
    </xf>
    <xf numFmtId="1" fontId="36" fillId="0" borderId="0" xfId="0" applyNumberFormat="1" applyFont="1" applyAlignment="1">
      <alignment horizontal="right" vertical="top"/>
    </xf>
    <xf numFmtId="0" fontId="37" fillId="0" borderId="0" xfId="0" applyFont="1" applyAlignment="1">
      <alignment horizontal="right"/>
    </xf>
    <xf numFmtId="0" fontId="37" fillId="0" borderId="0" xfId="0" applyFont="1" applyAlignment="1">
      <alignment horizontal="right" vertical="center"/>
    </xf>
    <xf numFmtId="0" fontId="7" fillId="0" borderId="0" xfId="0" applyFont="1" applyFill="1" applyAlignment="1">
      <alignment vertical="center"/>
    </xf>
    <xf numFmtId="0" fontId="17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vertical="center"/>
    </xf>
    <xf numFmtId="0" fontId="31" fillId="2" borderId="0" xfId="0" applyFont="1" applyFill="1" applyBorder="1" applyAlignment="1">
      <alignment vertical="center"/>
    </xf>
  </cellXfs>
  <cellStyles count="9">
    <cellStyle name="Excel_BuiltIn_Hyperlink" xfId="1" xr:uid="{00000000-0005-0000-0000-000000000000}"/>
    <cellStyle name="Good" xfId="8" builtinId="26"/>
    <cellStyle name="Heading" xfId="2" xr:uid="{00000000-0005-0000-0000-000001000000}"/>
    <cellStyle name="Heading1" xfId="3" xr:uid="{00000000-0005-0000-0000-000002000000}"/>
    <cellStyle name="Hyperlink" xfId="4" builtinId="8"/>
    <cellStyle name="Hypertextový odkaz 2" xfId="5" xr:uid="{00000000-0005-0000-0000-000004000000}"/>
    <cellStyle name="Normal" xfId="0" builtinId="0"/>
    <cellStyle name="Result" xfId="6" xr:uid="{00000000-0005-0000-0000-000006000000}"/>
    <cellStyle name="Result2" xfId="7" xr:uid="{00000000-0005-0000-0000-000007000000}"/>
  </cellStyles>
  <dxfs count="89">
    <dxf>
      <alignment horizontal="left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numFmt numFmtId="3" formatCode="#,##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169" formatCode="[$$-409]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5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71" formatCode=";;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169" formatCode="[$$-409]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5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71" formatCode=";;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169" formatCode="[$$-409]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5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71" formatCode=";;;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F528F"/>
      <color rgb="FF0033CC"/>
      <color rgb="FFFFAA01"/>
      <color rgb="FF996600"/>
      <color rgb="FF967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67235</xdr:colOff>
      <xdr:row>81</xdr:row>
      <xdr:rowOff>78441</xdr:rowOff>
    </xdr:from>
    <xdr:to>
      <xdr:col>10</xdr:col>
      <xdr:colOff>560295</xdr:colOff>
      <xdr:row>83</xdr:row>
      <xdr:rowOff>145678</xdr:rowOff>
    </xdr:to>
    <xdr:cxnSp macro="">
      <xdr:nvCxnSpPr>
        <xdr:cNvPr id="3" name="Přímá spojnice se šipkou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10287000" y="15508941"/>
          <a:ext cx="1098177" cy="4370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82363</xdr:colOff>
      <xdr:row>25</xdr:row>
      <xdr:rowOff>104773</xdr:rowOff>
    </xdr:from>
    <xdr:to>
      <xdr:col>12</xdr:col>
      <xdr:colOff>1604188</xdr:colOff>
      <xdr:row>29</xdr:row>
      <xdr:rowOff>62773</xdr:rowOff>
    </xdr:to>
    <xdr:sp macro="[0]!GenerateQR_ExportPDFs_AndLog" textlink="">
      <xdr:nvSpPr>
        <xdr:cNvPr id="16" name="Rectangle 15">
          <a:extLst>
            <a:ext uri="{FF2B5EF4-FFF2-40B4-BE49-F238E27FC236}">
              <a16:creationId xmlns:a16="http://schemas.microsoft.com/office/drawing/2014/main" id="{7E279A0D-B377-A13D-FFB5-B2FDC8BFA3BE}"/>
            </a:ext>
          </a:extLst>
        </xdr:cNvPr>
        <xdr:cNvSpPr/>
      </xdr:nvSpPr>
      <xdr:spPr>
        <a:xfrm>
          <a:off x="11540938" y="5124448"/>
          <a:ext cx="2160000" cy="720000"/>
        </a:xfrm>
        <a:prstGeom prst="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Tisk PDF</a:t>
          </a:r>
          <a:endParaRPr lang="en-US" sz="32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12</xdr:col>
      <xdr:colOff>2038350</xdr:colOff>
      <xdr:row>32</xdr:row>
      <xdr:rowOff>104775</xdr:rowOff>
    </xdr:from>
    <xdr:to>
      <xdr:col>17</xdr:col>
      <xdr:colOff>438150</xdr:colOff>
      <xdr:row>33</xdr:row>
      <xdr:rowOff>133350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0E01D12-5C2B-8EF4-DA66-3411C4B0B735}"/>
            </a:ext>
          </a:extLst>
        </xdr:cNvPr>
        <xdr:cNvCxnSpPr/>
      </xdr:nvCxnSpPr>
      <xdr:spPr>
        <a:xfrm flipH="1" flipV="1">
          <a:off x="14135100" y="6457950"/>
          <a:ext cx="31051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952500</xdr:colOff>
      <xdr:row>62</xdr:row>
      <xdr:rowOff>0</xdr:rowOff>
    </xdr:from>
    <xdr:to>
      <xdr:col>7</xdr:col>
      <xdr:colOff>28575</xdr:colOff>
      <xdr:row>75</xdr:row>
      <xdr:rowOff>142875</xdr:rowOff>
    </xdr:to>
    <xdr:pic>
      <xdr:nvPicPr>
        <xdr:cNvPr id="43" name="PaymentQR">
          <a:extLst>
            <a:ext uri="{FF2B5EF4-FFF2-40B4-BE49-F238E27FC236}">
              <a16:creationId xmlns:a16="http://schemas.microsoft.com/office/drawing/2014/main" id="{24235DAD-3B4A-6258-3223-E429909EA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12068175"/>
          <a:ext cx="2381250" cy="2619375"/>
        </a:xfrm>
        <a:prstGeom prst="rect">
          <a:avLst/>
        </a:prstGeom>
      </xdr:spPr>
    </xdr:pic>
    <xdr:clientData/>
  </xdr:twoCellAnchor>
  <xdr:twoCellAnchor editAs="oneCell">
    <xdr:from>
      <xdr:col>2</xdr:col>
      <xdr:colOff>60620</xdr:colOff>
      <xdr:row>1</xdr:row>
      <xdr:rowOff>73603</xdr:rowOff>
    </xdr:from>
    <xdr:to>
      <xdr:col>2</xdr:col>
      <xdr:colOff>700642</xdr:colOff>
      <xdr:row>3</xdr:row>
      <xdr:rowOff>176762</xdr:rowOff>
    </xdr:to>
    <xdr:pic>
      <xdr:nvPicPr>
        <xdr:cNvPr id="45" name="Obrázek 1">
          <a:extLst>
            <a:ext uri="{FF2B5EF4-FFF2-40B4-BE49-F238E27FC236}">
              <a16:creationId xmlns:a16="http://schemas.microsoft.com/office/drawing/2014/main" id="{2FA83BE9-977C-48FD-8DB4-4823DFE55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02234" y="342035"/>
          <a:ext cx="640022" cy="64002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67235</xdr:colOff>
      <xdr:row>81</xdr:row>
      <xdr:rowOff>78441</xdr:rowOff>
    </xdr:from>
    <xdr:to>
      <xdr:col>10</xdr:col>
      <xdr:colOff>560295</xdr:colOff>
      <xdr:row>83</xdr:row>
      <xdr:rowOff>145678</xdr:rowOff>
    </xdr:to>
    <xdr:cxnSp macro="">
      <xdr:nvCxnSpPr>
        <xdr:cNvPr id="3" name="Přímá spojnice se šipkou 2">
          <a:extLst>
            <a:ext uri="{FF2B5EF4-FFF2-40B4-BE49-F238E27FC236}">
              <a16:creationId xmlns:a16="http://schemas.microsoft.com/office/drawing/2014/main" id="{9A7E5C5F-0EAA-4761-B402-9BBE66439418}"/>
            </a:ext>
          </a:extLst>
        </xdr:cNvPr>
        <xdr:cNvCxnSpPr/>
      </xdr:nvCxnSpPr>
      <xdr:spPr>
        <a:xfrm flipH="1" flipV="1">
          <a:off x="10306610" y="15766116"/>
          <a:ext cx="1102660" cy="438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549088</xdr:colOff>
      <xdr:row>25</xdr:row>
      <xdr:rowOff>0</xdr:rowOff>
    </xdr:from>
    <xdr:to>
      <xdr:col>12</xdr:col>
      <xdr:colOff>1794688</xdr:colOff>
      <xdr:row>28</xdr:row>
      <xdr:rowOff>148500</xdr:rowOff>
    </xdr:to>
    <xdr:sp macro="[0]!GenerateQR_ExportPDFs_AndLog" textlink="">
      <xdr:nvSpPr>
        <xdr:cNvPr id="4" name="Rectangle 3">
          <a:extLst>
            <a:ext uri="{FF2B5EF4-FFF2-40B4-BE49-F238E27FC236}">
              <a16:creationId xmlns:a16="http://schemas.microsoft.com/office/drawing/2014/main" id="{D65BFC1A-C7BA-42B0-90AA-144DCBE961BC}"/>
            </a:ext>
          </a:extLst>
        </xdr:cNvPr>
        <xdr:cNvSpPr/>
      </xdr:nvSpPr>
      <xdr:spPr>
        <a:xfrm>
          <a:off x="11398063" y="5019675"/>
          <a:ext cx="2160000" cy="720000"/>
        </a:xfrm>
        <a:prstGeom prst="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lt1"/>
              </a:solidFill>
              <a:effectLst>
                <a:outerShdw blurRad="50800" dist="3810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Tisk PDF</a:t>
          </a:r>
          <a:endParaRPr lang="en-US" sz="7200">
            <a:effectLst/>
          </a:endParaRPr>
        </a:p>
      </xdr:txBody>
    </xdr:sp>
    <xdr:clientData/>
  </xdr:twoCellAnchor>
  <xdr:twoCellAnchor editAs="oneCell">
    <xdr:from>
      <xdr:col>2</xdr:col>
      <xdr:colOff>60620</xdr:colOff>
      <xdr:row>1</xdr:row>
      <xdr:rowOff>73602</xdr:rowOff>
    </xdr:from>
    <xdr:to>
      <xdr:col>2</xdr:col>
      <xdr:colOff>700418</xdr:colOff>
      <xdr:row>3</xdr:row>
      <xdr:rowOff>176537</xdr:rowOff>
    </xdr:to>
    <xdr:pic>
      <xdr:nvPicPr>
        <xdr:cNvPr id="57" name="Obrázek 1">
          <a:extLst>
            <a:ext uri="{FF2B5EF4-FFF2-40B4-BE49-F238E27FC236}">
              <a16:creationId xmlns:a16="http://schemas.microsoft.com/office/drawing/2014/main" id="{21017BAC-7792-4B20-88A8-B8600C9E8E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02234" y="342034"/>
          <a:ext cx="639798" cy="63979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952500</xdr:colOff>
      <xdr:row>62</xdr:row>
      <xdr:rowOff>0</xdr:rowOff>
    </xdr:from>
    <xdr:to>
      <xdr:col>7</xdr:col>
      <xdr:colOff>28575</xdr:colOff>
      <xdr:row>75</xdr:row>
      <xdr:rowOff>142875</xdr:rowOff>
    </xdr:to>
    <xdr:pic>
      <xdr:nvPicPr>
        <xdr:cNvPr id="59" name="PaymentQR">
          <a:extLst>
            <a:ext uri="{FF2B5EF4-FFF2-40B4-BE49-F238E27FC236}">
              <a16:creationId xmlns:a16="http://schemas.microsoft.com/office/drawing/2014/main" id="{14781D76-B53B-E1D6-74C8-DD6DDD7C3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12068175"/>
          <a:ext cx="2381250" cy="2619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66674</xdr:colOff>
      <xdr:row>1</xdr:row>
      <xdr:rowOff>52799</xdr:rowOff>
    </xdr:from>
    <xdr:to>
      <xdr:col>2</xdr:col>
      <xdr:colOff>804582</xdr:colOff>
      <xdr:row>3</xdr:row>
      <xdr:rowOff>156599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52E8FF52-38FA-4704-977A-038A4C4720C8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04824" y="319499"/>
          <a:ext cx="737908" cy="637200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67235</xdr:colOff>
      <xdr:row>81</xdr:row>
      <xdr:rowOff>78441</xdr:rowOff>
    </xdr:from>
    <xdr:to>
      <xdr:col>10</xdr:col>
      <xdr:colOff>560295</xdr:colOff>
      <xdr:row>83</xdr:row>
      <xdr:rowOff>145678</xdr:rowOff>
    </xdr:to>
    <xdr:cxnSp macro="">
      <xdr:nvCxnSpPr>
        <xdr:cNvPr id="3" name="Přímá spojnice se šipkou 2">
          <a:extLst>
            <a:ext uri="{FF2B5EF4-FFF2-40B4-BE49-F238E27FC236}">
              <a16:creationId xmlns:a16="http://schemas.microsoft.com/office/drawing/2014/main" id="{1411F2CC-585F-408E-B00D-60E8657F13B6}"/>
            </a:ext>
          </a:extLst>
        </xdr:cNvPr>
        <xdr:cNvCxnSpPr/>
      </xdr:nvCxnSpPr>
      <xdr:spPr>
        <a:xfrm flipH="1" flipV="1">
          <a:off x="10306610" y="15728016"/>
          <a:ext cx="1102660" cy="438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549088</xdr:colOff>
      <xdr:row>25</xdr:row>
      <xdr:rowOff>0</xdr:rowOff>
    </xdr:from>
    <xdr:to>
      <xdr:col>12</xdr:col>
      <xdr:colOff>1461313</xdr:colOff>
      <xdr:row>28</xdr:row>
      <xdr:rowOff>148500</xdr:rowOff>
    </xdr:to>
    <xdr:sp macro="[0]!QRPlatbaZalohy" textlink="">
      <xdr:nvSpPr>
        <xdr:cNvPr id="4" name="Rectangle 3">
          <a:extLst>
            <a:ext uri="{FF2B5EF4-FFF2-40B4-BE49-F238E27FC236}">
              <a16:creationId xmlns:a16="http://schemas.microsoft.com/office/drawing/2014/main" id="{D3C3B830-2FFF-43E1-ABAB-D259204B8B62}"/>
            </a:ext>
          </a:extLst>
        </xdr:cNvPr>
        <xdr:cNvSpPr/>
      </xdr:nvSpPr>
      <xdr:spPr>
        <a:xfrm>
          <a:off x="11398063" y="5019675"/>
          <a:ext cx="2160000" cy="720000"/>
        </a:xfrm>
        <a:prstGeom prst="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lt1"/>
              </a:solidFill>
              <a:effectLst>
                <a:outerShdw blurRad="50800" dist="3810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Tisk PDF</a:t>
          </a:r>
          <a:endParaRPr lang="en-US" sz="3200">
            <a:effectLst/>
          </a:endParaRPr>
        </a:p>
      </xdr:txBody>
    </xdr:sp>
    <xdr:clientData/>
  </xdr:twoCellAnchor>
  <xdr:twoCellAnchor editAs="oneCell">
    <xdr:from>
      <xdr:col>4</xdr:col>
      <xdr:colOff>522750</xdr:colOff>
      <xdr:row>59</xdr:row>
      <xdr:rowOff>190061</xdr:rowOff>
    </xdr:from>
    <xdr:to>
      <xdr:col>6</xdr:col>
      <xdr:colOff>541799</xdr:colOff>
      <xdr:row>66</xdr:row>
      <xdr:rowOff>163361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600EB3C-3879-4C8A-9EF0-57F76A9B7F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83014">
          <a:off x="7018800" y="11686736"/>
          <a:ext cx="2276474" cy="130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66674</xdr:colOff>
      <xdr:row>1</xdr:row>
      <xdr:rowOff>52798</xdr:rowOff>
    </xdr:from>
    <xdr:to>
      <xdr:col>2</xdr:col>
      <xdr:colOff>804582</xdr:colOff>
      <xdr:row>3</xdr:row>
      <xdr:rowOff>156598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EA7B6B2D-C5E2-4462-BEDD-909EE426C19C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04824" y="319498"/>
          <a:ext cx="737908" cy="637200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12D80B-6CC2-4610-8514-A5046DA118AD}" name="VynalozeneNaklady" displayName="VynalozeneNaklady" ref="C46:G52" totalsRowShown="0" headerRowDxfId="88" dataDxfId="87" tableBorderDxfId="86">
  <autoFilter ref="C46:G52" xr:uid="{942EB7BC-32C6-4C0C-8DD3-76FB2AF3F5E8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47:G52">
    <sortCondition ref="C50:C52"/>
  </sortState>
  <tableColumns count="5">
    <tableColumn id="1" xr3:uid="{D7E1FFBC-879E-48BD-A8BC-DA51461E704E}" name="Účelně vynaložené náklady k proplacení" dataDxfId="85"/>
    <tableColumn id="2" xr3:uid="{93567A42-5913-4103-983D-48C699FAC688}" name="MJ" dataDxfId="84"/>
    <tableColumn id="3" xr3:uid="{1AABAF5E-0D13-4C00-8BA0-49463A2D73B4}" name="Jednotek" dataDxfId="83"/>
    <tableColumn id="4" xr3:uid="{42867D44-8522-43D3-9B0D-8D3AC8071CB9}" name="Cena/MJ" dataDxfId="82"/>
    <tableColumn id="5" xr3:uid="{3AC411AF-7B22-4EA4-8AB4-B21871632F0F}" name="Cena" dataDxfId="81">
      <calculatedColumnFormula>IF(AND((C47&lt;&gt;""),(D47&lt;&gt;""),(E47&lt;&gt;""),(F47&lt;&gt;"")),(E47*F47),"")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FEAAEB-77CD-4A64-9CCB-31A0C1805AE2}" name="Cinnosti" displayName="Cinnosti" ref="C19:G42" totalsRowShown="0" headerRowDxfId="80" dataDxfId="79" tableBorderDxfId="78">
  <autoFilter ref="C19:G42" xr:uid="{BB94902E-12DA-41EA-8E46-1BBB5E6AD451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20:G42">
    <sortCondition ref="C20:C42"/>
  </sortState>
  <tableColumns count="5">
    <tableColumn id="1" xr3:uid="{08490F59-1BCB-40C9-B9F0-4248D616CFAE}" name="Činnost" dataDxfId="77"/>
    <tableColumn id="2" xr3:uid="{5B89D857-C2A2-4F65-B3F8-9F2D1DE39090}" name="MJ" dataDxfId="76"/>
    <tableColumn id="3" xr3:uid="{9AAF7FCD-C560-4CA0-A8D9-E1A061F3C118}" name="Jednotek" dataDxfId="75"/>
    <tableColumn id="4" xr3:uid="{58B1B8AA-2FB9-4700-8B5D-EECBFBB10503}" name="Cena/MJ" dataDxfId="74"/>
    <tableColumn id="5" xr3:uid="{08F1BEEC-B0B3-41CD-8370-B04B2EDAEDBF}" name="Cena" dataDxfId="73">
      <calculatedColumnFormula>IF(AND((C20&lt;&gt;""),(D20&lt;&gt;""),(E20&lt;&gt;""),(F20&lt;&gt;"")),(E20*F20),"")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60C757-CCA9-438E-9153-269AD4120F5B}" name="Lokalita" displayName="Lokalita" ref="C15:E16" totalsRowShown="0" headerRowDxfId="72" dataDxfId="71" tableBorderDxfId="70">
  <autoFilter ref="C15:E16" xr:uid="{7AFF13DE-B7FF-4CD5-BE86-88D32D656455}">
    <filterColumn colId="0" hiddenButton="1"/>
    <filterColumn colId="1" hiddenButton="1"/>
    <filterColumn colId="2" hiddenButton="1"/>
  </autoFilter>
  <tableColumns count="3">
    <tableColumn id="1" xr3:uid="{43CF8650-9145-40E9-B5E9-B1CC1EE8B470}" name="Místo" dataDxfId="69">
      <calculatedColumnFormula>_xlfn.XLOOKUP(Nabídka!$Q$5,Klienti!$A$2:$A$100,Klienti!$K$2:$K$100,"",0,1)</calculatedColumnFormula>
    </tableColumn>
    <tableColumn id="2" xr3:uid="{054364DC-E0C5-4BDA-85C8-7185396FFC20}" name="Datum" dataDxfId="68">
      <calculatedColumnFormula>TEXT(EOMONTH(TODAY(),-2)+1,"d.m.") &amp; "-" &amp; TEXT(EOMONTH(TODAY(),-1),"d.m.rrrr")</calculatedColumnFormula>
    </tableColumn>
    <tableColumn id="3" xr3:uid="{D84BF79B-09A1-414D-9498-4DC33518A947}" name="Počet hodin" dataDxfId="67">
      <calculatedColumnFormula>IF(L16=1,L16&amp;" hodina",IF(AND(L16&gt;1,L16&lt;5),L16&amp;" hodiny",L16&amp;" hodin"))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04651C-CC52-44CA-AA99-03BD1D98CCBB}" name="CelkovaCena" displayName="CelkovaCena" ref="F56:G59" headerRowCount="0" totalsRowShown="0" headerRowDxfId="66" dataDxfId="65">
  <tableColumns count="2">
    <tableColumn id="1" xr3:uid="{CDC31601-BE8F-43F5-BF50-EC126EFA5C28}" name="Sloupec1" headerRowDxfId="64" dataDxfId="63"/>
    <tableColumn id="2" xr3:uid="{29B377D8-EB1D-47CF-9F2D-6290F1B57160}" name="Sloupec2" headerRowDxfId="62" dataDxfId="6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3807A5-E4F5-40A8-95C7-C6AFA40CFE34}" name="ZalohovaFakturaNaklady" displayName="ZalohovaFakturaNaklady" ref="C46:G52" totalsRowShown="0" headerRowDxfId="60" dataDxfId="59" tableBorderDxfId="58">
  <autoFilter ref="C46:G52" xr:uid="{942EB7BC-32C6-4C0C-8DD3-76FB2AF3F5E8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47:G52">
    <sortCondition ref="C50:C52"/>
  </sortState>
  <tableColumns count="5">
    <tableColumn id="1" xr3:uid="{68BD3E4C-C4B7-4C1C-A8FE-F27A42FBDA95}" name="Účelně vynaložené náklady k proplacení" dataDxfId="57">
      <calculatedColumnFormula>IF(Nabídka!C47&lt;&gt;"",Nabídka!C47,"")</calculatedColumnFormula>
    </tableColumn>
    <tableColumn id="2" xr3:uid="{EA7D269E-060C-4009-B91A-9544425DD986}" name="MJ" dataDxfId="56">
      <calculatedColumnFormula>IF(Nabídka!D47&lt;&gt;"",Nabídka!D47,"")</calculatedColumnFormula>
    </tableColumn>
    <tableColumn id="3" xr3:uid="{F0DC9367-F29A-456A-AC48-5233D63F2C89}" name="Jednotek" dataDxfId="55">
      <calculatedColumnFormula>IF(Nabídka!E47&lt;&gt;"",Nabídka!E47,"")</calculatedColumnFormula>
    </tableColumn>
    <tableColumn id="4" xr3:uid="{DE38E32D-8C2B-4F06-A4BF-28C12F659566}" name="Cena/MJ" dataDxfId="54">
      <calculatedColumnFormula>IF(Nabídka!F47&lt;&gt;"",Nabídka!F47,"")</calculatedColumnFormula>
    </tableColumn>
    <tableColumn id="5" xr3:uid="{3DF307D2-0F63-4331-AEBD-4DBF49CC880A}" name="Cena" dataDxfId="53">
      <calculatedColumnFormula>IF(AND((Nabídka!C47&lt;&gt;""),(Nabídka!D47&lt;&gt;""),(Nabídka!E47&lt;&gt;""),(Nabídka!F47&lt;&gt;"")),(Nabídka!E47*Nabídka!F47),"")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35D5AB-E2AF-4FA3-B582-2AA304169A4E}" name="ZalohovaFakturaCinnosti" displayName="ZalohovaFakturaCinnosti" ref="C19:G42" totalsRowShown="0" headerRowDxfId="52" dataDxfId="51" tableBorderDxfId="50">
  <autoFilter ref="C19:G42" xr:uid="{BB94902E-12DA-41EA-8E46-1BBB5E6AD451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20:G39">
    <sortCondition ref="C37:C39"/>
  </sortState>
  <tableColumns count="5">
    <tableColumn id="1" xr3:uid="{26C0E584-ECDF-4E24-96E3-BD834F82221F}" name="Činnost" dataDxfId="49">
      <calculatedColumnFormula>IF(Nabídka!C20&lt;&gt;"",Nabídka!C20,"")</calculatedColumnFormula>
    </tableColumn>
    <tableColumn id="2" xr3:uid="{947C0A13-FFB1-456E-89ED-704A9523BD37}" name="MJ" dataDxfId="48">
      <calculatedColumnFormula>IF(Nabídka!D20&lt;&gt;"",Nabídka!D20,"")</calculatedColumnFormula>
    </tableColumn>
    <tableColumn id="3" xr3:uid="{8D6C3B25-0E95-4F35-A79A-DE73A2973AE1}" name="Jednotek" dataDxfId="47">
      <calculatedColumnFormula>IF(Nabídka!E20&lt;&gt;"",Nabídka!E20,"")</calculatedColumnFormula>
    </tableColumn>
    <tableColumn id="4" xr3:uid="{DD1802B0-7DA8-4BB3-BC1B-8E62F80A0C80}" name="Cena/MJ" dataDxfId="46">
      <calculatedColumnFormula>IF(Nabídka!F20&lt;&gt;"",Nabídka!F20,"")</calculatedColumnFormula>
    </tableColumn>
    <tableColumn id="5" xr3:uid="{61863281-1946-481D-875D-09A5A0C3741F}" name="Cena" dataDxfId="45">
      <calculatedColumnFormula>IF(AND((Nabídka!C20&lt;&gt;""),(Nabídka!D20&lt;&gt;""),(Nabídka!E20&lt;&gt;""),(Nabídka!F20&lt;&gt;"")),(Nabídka!E20*Nabídka!F20),"")</calculatedColumnFormula>
    </tableColumn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731D0D2-88FA-4D3D-87FF-1714C3A4A50A}" name="ZalohovaFakturaLokalita" displayName="ZalohovaFakturaLokalita" ref="C15:E16" totalsRowShown="0" headerRowDxfId="44" dataDxfId="43" tableBorderDxfId="42">
  <autoFilter ref="C15:E16" xr:uid="{7AFF13DE-B7FF-4CD5-BE86-88D32D656455}">
    <filterColumn colId="0" hiddenButton="1"/>
    <filterColumn colId="1" hiddenButton="1"/>
    <filterColumn colId="2" hiddenButton="1"/>
  </autoFilter>
  <tableColumns count="3">
    <tableColumn id="1" xr3:uid="{4B13F574-B63A-4007-8693-860E95588EAC}" name="Místo" dataDxfId="41">
      <calculatedColumnFormula>Nabídka!C16</calculatedColumnFormula>
    </tableColumn>
    <tableColumn id="2" xr3:uid="{E1E5383A-D348-4373-AAB6-F2A6C7B7DD8F}" name="Datum" dataDxfId="40">
      <calculatedColumnFormula>Nabídka!G3</calculatedColumnFormula>
    </tableColumn>
    <tableColumn id="3" xr3:uid="{A2F0259E-67B2-4CDB-B110-A4512FDA65CF}" name="Počet hodin" dataDxfId="39">
      <calculatedColumnFormula>IF(Nabídka!L16=1,Nabídka!L16&amp;" hodina",IF(AND(Nabídka!L16&gt;1,Nabídka!L16&lt;5),Nabídka!L16&amp;" hodiny",Nabídka!L16&amp;" hodin"))</calculatedColumnFormula>
    </tableColumn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CAD99E-0585-48EB-B46B-CDE1E2A7F479}" name="ZalohovaFakturaCelkovaCena" displayName="ZalohovaFakturaCelkovaCena" ref="F56:G57" headerRowCount="0" totalsRowShown="0" headerRowDxfId="38" dataDxfId="37">
  <tableColumns count="2">
    <tableColumn id="1" xr3:uid="{C710DF63-5200-4A17-87C2-E3466BCCC5B0}" name="Sloupec1" headerRowDxfId="36" dataDxfId="35"/>
    <tableColumn id="2" xr3:uid="{9C583366-B17E-48A5-A9A3-52C3EFE2085F}" name="Sloupec2" headerRowDxfId="34" dataDxfId="33">
      <calculatedColumnFormula>Nabídka!G55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B06838-D093-45E4-BA18-7029F136E307}" name="FakturaNaklady" displayName="FakturaNaklady" ref="C46:G52" totalsRowShown="0" headerRowDxfId="32" dataDxfId="31" tableBorderDxfId="30">
  <autoFilter ref="C46:G52" xr:uid="{942EB7BC-32C6-4C0C-8DD3-76FB2AF3F5E8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47:G52">
    <sortCondition ref="C50:C52"/>
  </sortState>
  <tableColumns count="5">
    <tableColumn id="1" xr3:uid="{96DBDA59-3FA1-41B6-8A99-CF9EF1EB9975}" name="Účelně vynaložené náklady k proplacení" dataDxfId="29">
      <calculatedColumnFormula>IF(Nabídka!C47&lt;&gt;"",Nabídka!C47,"")</calculatedColumnFormula>
    </tableColumn>
    <tableColumn id="2" xr3:uid="{91028760-9E63-4723-A7FD-99E049E9A7C7}" name="MJ" dataDxfId="28">
      <calculatedColumnFormula>Nabídka!D47</calculatedColumnFormula>
    </tableColumn>
    <tableColumn id="3" xr3:uid="{8F1EA90C-EB6E-48FE-BCA8-0E467828D362}" name="Jednotek" dataDxfId="27">
      <calculatedColumnFormula>IF(Nabídka!E47&lt;&gt;"",Nabídka!E47,"")</calculatedColumnFormula>
    </tableColumn>
    <tableColumn id="4" xr3:uid="{9D26A95B-C0E8-48AF-93BF-3699723F1C2B}" name="Cena/MJ" dataDxfId="26">
      <calculatedColumnFormula>IF(Nabídka!F47&lt;&gt;"",Nabídka!F47,"")</calculatedColumnFormula>
    </tableColumn>
    <tableColumn id="5" xr3:uid="{41197C6D-E92E-4D61-9BCB-5516FB0CD86D}" name="Cena" dataDxfId="25">
      <calculatedColumnFormula>IF(AND((Nabídka!C47&lt;&gt;""),(Nabídka!D47&lt;&gt;""),(Nabídka!E47&lt;&gt;""),(Nabídka!F47&lt;&gt;"")),(Nabídka!E47*Nabídka!F47),"")</calculatedColumnFormula>
    </tableColumn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170B63-44F4-4A92-8CB6-FADC7BF9E64F}" name="FakturaCinnosti" displayName="FakturaCinnosti" ref="C19:G42" totalsRowShown="0" headerRowDxfId="24" dataDxfId="23" tableBorderDxfId="22">
  <autoFilter ref="C19:G42" xr:uid="{BB94902E-12DA-41EA-8E46-1BBB5E6AD451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20:G39">
    <sortCondition ref="C37:C39"/>
  </sortState>
  <tableColumns count="5">
    <tableColumn id="1" xr3:uid="{99D46102-1CEE-46C7-A593-B9298A846FE7}" name="Činnost" dataDxfId="21">
      <calculatedColumnFormula>IF(Nabídka!C20&lt;&gt;"",Nabídka!C20,"")</calculatedColumnFormula>
    </tableColumn>
    <tableColumn id="2" xr3:uid="{8B7F672E-8579-496D-930E-876F9D0EF741}" name="MJ" dataDxfId="20">
      <calculatedColumnFormula>IF(Nabídka!D20&lt;&gt;"",Nabídka!D20,"")</calculatedColumnFormula>
    </tableColumn>
    <tableColumn id="3" xr3:uid="{AD9764FA-B317-441F-BCA5-D95CEA276E09}" name="Jednotek" dataDxfId="19">
      <calculatedColumnFormula>IF(Nabídka!E20&lt;&gt;"",Nabídka!E20,"")</calculatedColumnFormula>
    </tableColumn>
    <tableColumn id="4" xr3:uid="{732CB041-B89C-493C-9950-48702770C8D7}" name="Cena/MJ" dataDxfId="18">
      <calculatedColumnFormula>IF(Nabídka!F20&lt;&gt;"",Nabídka!F20,"")</calculatedColumnFormula>
    </tableColumn>
    <tableColumn id="5" xr3:uid="{6567BF52-42A7-45A7-A1CB-A9ED2561DCFE}" name="Cena" dataDxfId="17">
      <calculatedColumnFormula>IF(AND((Nabídka!C20&lt;&gt;""),(Nabídka!D20&lt;&gt;""),(Nabídka!E20&lt;&gt;""),(Nabídka!F20&lt;&gt;"")),(Nabídka!E20*Nabídka!F20),"")</calculatedColumnFormula>
    </tableColumn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CD2AD5-174B-4490-844C-7930FC50A4AF}" name="FakturaLokalita" displayName="FakturaLokalita" ref="C15:E16" totalsRowShown="0" headerRowDxfId="16" dataDxfId="15" tableBorderDxfId="14">
  <autoFilter ref="C15:E16" xr:uid="{7AFF13DE-B7FF-4CD5-BE86-88D32D656455}">
    <filterColumn colId="0" hiddenButton="1"/>
    <filterColumn colId="1" hiddenButton="1"/>
    <filterColumn colId="2" hiddenButton="1"/>
  </autoFilter>
  <tableColumns count="3">
    <tableColumn id="1" xr3:uid="{3C370905-273D-492F-A404-232FEC4A5ED7}" name="Místo" dataDxfId="13">
      <calculatedColumnFormula>Nabídka!C16</calculatedColumnFormula>
    </tableColumn>
    <tableColumn id="2" xr3:uid="{3001C2C5-D289-44CD-8F38-2C4DEFEC243F}" name="Datum" dataDxfId="12">
      <calculatedColumnFormula>Nabídka!G3</calculatedColumnFormula>
    </tableColumn>
    <tableColumn id="3" xr3:uid="{C2944152-FD76-40F7-8E88-0F4D38138988}" name="Časový fond" dataDxfId="11">
      <calculatedColumnFormula>IF(Nabídka!L16=1,Nabídka!L16&amp;" hodina",IF(AND(Nabídka!L16&gt;1,Nabídka!L16&lt;5),Nabídka!L16&amp;" hodiny",Nabídka!L16&amp;" hodin"))</calculatedColumnFormula>
    </tableColumn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68BDA6-AC54-4CE2-85D3-B00A11A896A7}" name="FakturaCelkovaCena" displayName="FakturaCelkovaCena" ref="F56:G57" headerRowCount="0" totalsRowShown="0" headerRowDxfId="10" dataDxfId="9">
  <tableColumns count="2">
    <tableColumn id="1" xr3:uid="{CDBF97CB-2714-4019-B3A3-68AA93B61809}" name="Sloupec1" headerRowDxfId="8" dataDxfId="7"/>
    <tableColumn id="2" xr3:uid="{B63C8BF0-DEE0-4120-9B6D-7B3F85C336BD}" name="Sloupec2" headerRowDxfId="6" dataDxfId="5">
      <calculatedColumnFormula>Nabídka!G55</calculatedColumnFormula>
    </tableColumn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075546-134C-4880-9019-11647A27A0E5}" name="Klienti" displayName="Klienti" ref="A1:K5" totalsRowShown="0" headerRowDxfId="4">
  <sortState xmlns:xlrd2="http://schemas.microsoft.com/office/spreadsheetml/2017/richdata2" ref="A2:K5">
    <sortCondition ref="A2:A5"/>
  </sortState>
  <tableColumns count="11">
    <tableColumn id="1" xr3:uid="{917961AC-110A-47B2-BADA-7AD955CDEF0D}" name="Firma"/>
    <tableColumn id="2" xr3:uid="{CDD84698-6097-4A28-B5DE-F1BE5685741D}" name="Jednající"/>
    <tableColumn id="3" xr3:uid="{EC1107AC-B6C8-4DBF-BEC4-9E5EA6398977}" name="Adresa"/>
    <tableColumn id="4" xr3:uid="{25720DE7-F5E5-4092-BC97-BBA404F59747}" name="PSČ">
      <calculatedColumnFormula>"140 00"</calculatedColumnFormula>
    </tableColumn>
    <tableColumn id="5" xr3:uid="{E85B0AE6-1210-4F98-8AEE-D27A56B79A63}" name="Země"/>
    <tableColumn id="6" xr3:uid="{D4D2720E-F930-409B-9833-4C0D701FDFEB}" name="Telefon" dataDxfId="3">
      <calculatedColumnFormula>"+420 725 960 560"</calculatedColumnFormula>
    </tableColumn>
    <tableColumn id="7" xr3:uid="{539D8B19-5C94-4375-A447-195092746FE6}" name="e-mail"/>
    <tableColumn id="8" xr3:uid="{DFF937CC-FF92-44C1-A47A-ED655DDE2AF5}" name="web"/>
    <tableColumn id="9" xr3:uid="{F80862DD-929C-411D-9DD3-F8CEC9E413BE}" name="IČO"/>
    <tableColumn id="10" xr3:uid="{555FDD17-9C32-4324-9E3D-85F2C507E86C}" name="Projekt"/>
    <tableColumn id="11" xr3:uid="{3AFBA21C-1C75-431E-8F78-05083B3F5A37}" name="Lokalita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D88DF2F-A831-49C5-9813-4215E92AE542}" name="QRKonfigurace" displayName="QRKonfigurace" comment="Definice proměnných pro vytvoření QR kódu pro platby" ref="A1:B33" totalsRowShown="0" dataDxfId="2">
  <autoFilter ref="A1:B33" xr:uid="{6D88DF2F-A831-49C5-9813-4215E92AE542}">
    <filterColumn colId="0" hiddenButton="1"/>
    <filterColumn colId="1" hiddenButton="1"/>
  </autoFilter>
  <tableColumns count="2">
    <tableColumn id="1" xr3:uid="{6D61AC97-75B4-4DC0-A41B-382F7008EAB7}" name="Key" dataDxfId="1"/>
    <tableColumn id="2" xr3:uid="{C21C5860-A50F-4B1E-AB2C-2AF09DAC67BF}" name="Value" dataDxfId="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C7FADE7-FD43-4325-B021-411DBA63C26C}" name="QRBunky" displayName="QRBunky" comment="Seznam buněk pro jednotlivé listy" ref="D1:E3" totalsRowShown="0">
  <autoFilter ref="D1:E3" xr:uid="{4C7FADE7-FD43-4325-B021-411DBA63C26C}">
    <filterColumn colId="0" hiddenButton="1"/>
    <filterColumn colId="1" hiddenButton="1"/>
  </autoFilter>
  <tableColumns count="2">
    <tableColumn id="1" xr3:uid="{4C03EA90-FB12-40C7-85E0-679B7FE1BFF9}" name="List"/>
    <tableColumn id="2" xr3:uid="{5255494D-1E60-4196-BE0A-436149DE0DAC}" name="Buňka pro Qrk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www.kopl.pro/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michal@kopl.pro" TargetMode="External"/><Relationship Id="rId1" Type="http://schemas.openxmlformats.org/officeDocument/2006/relationships/hyperlink" Target="mailto:michal@kopl.pro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4.xml"/><Relationship Id="rId4" Type="http://schemas.openxmlformats.org/officeDocument/2006/relationships/hyperlink" Target="https://www.cnb.cz/en/payments/iban/iban-calculator-czech-republic/" TargetMode="Externa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chal@kopl.pro" TargetMode="Externa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table" Target="../tables/table1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ichal@kopl.pro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CC119"/>
  <sheetViews>
    <sheetView zoomScaleNormal="100" zoomScalePageLayoutView="25" workbookViewId="0">
      <selection activeCell="T31" sqref="T31"/>
    </sheetView>
  </sheetViews>
  <sheetFormatPr defaultColWidth="9.140625" defaultRowHeight="14.25" x14ac:dyDescent="0.25"/>
  <cols>
    <col min="1" max="2" width="3.28515625" style="1" customWidth="1"/>
    <col min="3" max="3" width="77.5703125" style="1" bestFit="1" customWidth="1"/>
    <col min="4" max="4" width="13.28515625" style="1" customWidth="1"/>
    <col min="5" max="5" width="20.42578125" style="1" customWidth="1"/>
    <col min="6" max="6" width="13.42578125" style="1" bestFit="1" customWidth="1"/>
    <col min="7" max="7" width="15.7109375" style="1" customWidth="1"/>
    <col min="8" max="9" width="3.28515625" style="1" customWidth="1"/>
    <col min="10" max="11" width="9.140625" style="1"/>
    <col min="12" max="12" width="9.5703125" style="1" customWidth="1"/>
    <col min="13" max="13" width="32.7109375" style="1" bestFit="1" customWidth="1"/>
    <col min="14" max="14" width="2.140625" style="1" customWidth="1"/>
    <col min="15" max="15" width="24.28515625" style="1" customWidth="1"/>
    <col min="16" max="16" width="2.28515625" style="1" customWidth="1"/>
    <col min="17" max="17" width="9.140625" style="1"/>
    <col min="18" max="18" width="12.140625" style="1" bestFit="1" customWidth="1"/>
    <col min="19" max="19" width="9.140625" style="1"/>
    <col min="20" max="20" width="28.7109375" style="1" customWidth="1"/>
    <col min="21" max="25" width="9.140625" style="1"/>
    <col min="26" max="26" width="14.42578125" style="1" bestFit="1" customWidth="1"/>
    <col min="27" max="16384" width="9.140625" style="1"/>
  </cols>
  <sheetData>
    <row r="1" spans="1:26" ht="21" customHeight="1" thickBot="1" x14ac:dyDescent="0.3">
      <c r="A1" s="20"/>
      <c r="B1" s="20"/>
      <c r="C1" s="20"/>
      <c r="D1" s="20"/>
      <c r="E1" s="20"/>
      <c r="F1" s="20"/>
      <c r="G1" s="20"/>
      <c r="H1" s="20"/>
      <c r="I1" s="20"/>
      <c r="L1" s="161" t="s">
        <v>156</v>
      </c>
      <c r="M1" s="161"/>
      <c r="N1" s="161"/>
      <c r="O1" s="161"/>
      <c r="P1" s="161"/>
      <c r="Q1" s="161"/>
      <c r="R1" s="161"/>
      <c r="S1" s="161"/>
      <c r="T1" s="161"/>
      <c r="U1" s="161"/>
      <c r="V1" s="161"/>
    </row>
    <row r="2" spans="1:26" ht="21" customHeight="1" thickTop="1" x14ac:dyDescent="0.25">
      <c r="A2" s="20"/>
      <c r="B2" s="176" t="str">
        <f>REPT(" ",20) &amp; "CENOVÁ NABÍDKA"</f>
        <v xml:space="preserve">                    CENOVÁ NABÍDKA</v>
      </c>
      <c r="C2" s="176"/>
      <c r="D2" s="177"/>
      <c r="E2" s="166" t="s">
        <v>1</v>
      </c>
      <c r="F2" s="167"/>
      <c r="G2" s="21">
        <f ca="1">DATE(YEAR(TODAY()),MONTH(TODAY()),DAY(TODAY()))</f>
        <v>45886</v>
      </c>
      <c r="H2" s="22"/>
      <c r="I2" s="20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</row>
    <row r="3" spans="1:26" ht="21" customHeight="1" x14ac:dyDescent="0.25">
      <c r="A3" s="20"/>
      <c r="B3" s="176"/>
      <c r="C3" s="176"/>
      <c r="D3" s="177"/>
      <c r="E3" s="164" t="s">
        <v>2</v>
      </c>
      <c r="F3" s="165"/>
      <c r="G3" s="24">
        <f ca="1">G2+30</f>
        <v>45916</v>
      </c>
      <c r="H3" s="25"/>
      <c r="I3" s="20"/>
      <c r="L3" s="10" t="s">
        <v>15</v>
      </c>
      <c r="T3" s="16"/>
    </row>
    <row r="4" spans="1:26" ht="15.75" customHeight="1" thickBot="1" x14ac:dyDescent="0.3">
      <c r="A4" s="20"/>
      <c r="B4" s="176"/>
      <c r="C4" s="176"/>
      <c r="D4" s="177"/>
      <c r="E4" s="168" t="str">
        <f>"Název projektu: "&amp;_xlfn.XLOOKUP(Nabídka!$Q$5,Klienti!$A$2:$A$100,Klienti!$J$2:$J$100,"",0,1)</f>
        <v>Název projektu: Biz Data a.s.</v>
      </c>
      <c r="F4" s="169"/>
      <c r="G4" s="169"/>
      <c r="H4" s="26"/>
      <c r="I4" s="20"/>
      <c r="L4" s="171" t="s">
        <v>3</v>
      </c>
      <c r="M4" s="171"/>
      <c r="N4" s="171"/>
      <c r="O4" s="171"/>
      <c r="Q4" s="197" t="s">
        <v>53</v>
      </c>
      <c r="R4" s="197"/>
      <c r="S4" s="197"/>
      <c r="T4" s="197"/>
    </row>
    <row r="5" spans="1:26" s="146" customFormat="1" ht="16.5" customHeight="1" thickTop="1" thickBot="1" x14ac:dyDescent="0.3">
      <c r="A5" s="144"/>
      <c r="B5" s="172" t="str">
        <f>REPT(" ",6)&amp;"Dodavatel:"</f>
        <v xml:space="preserve">      Dodavatel:</v>
      </c>
      <c r="C5" s="180"/>
      <c r="D5" s="172" t="str">
        <f>REPT(" ",6)&amp;"Odběratel:"</f>
        <v xml:space="preserve">      Odběratel:</v>
      </c>
      <c r="E5" s="173"/>
      <c r="F5" s="173"/>
      <c r="G5" s="173"/>
      <c r="H5" s="145"/>
      <c r="I5" s="144"/>
      <c r="K5" s="4"/>
      <c r="L5" s="170" t="str">
        <f>_xlfn.XLOOKUP(Nabídka!$Q$5,Klienti!$A$2:$A$100,Klienti!$J$2:$J$100,"",0,1)</f>
        <v>Biz Data a.s.</v>
      </c>
      <c r="M5" s="170"/>
      <c r="N5" s="170"/>
      <c r="O5" s="170"/>
      <c r="Q5" s="194" t="s">
        <v>70</v>
      </c>
      <c r="R5" s="195"/>
      <c r="S5" s="195"/>
      <c r="T5" s="196"/>
      <c r="Z5" s="147"/>
    </row>
    <row r="6" spans="1:26" ht="15" customHeight="1" thickTop="1" thickBot="1" x14ac:dyDescent="0.3">
      <c r="A6" s="20"/>
      <c r="B6" s="181" t="str">
        <f>REPT(" ",6)&amp;Q7</f>
        <v xml:space="preserve">      Michal Kopl, Kopl Pro</v>
      </c>
      <c r="C6" s="182"/>
      <c r="D6" s="183" t="str">
        <f>REPT(" ",6)&amp;L7</f>
        <v xml:space="preserve">      Pavla Černá, BIZ DATA a.s.</v>
      </c>
      <c r="E6" s="184"/>
      <c r="F6" s="184"/>
      <c r="G6" s="184"/>
      <c r="H6" s="25"/>
      <c r="I6" s="20"/>
      <c r="K6" s="4"/>
      <c r="L6" s="171" t="s">
        <v>103</v>
      </c>
      <c r="M6" s="171"/>
      <c r="N6" s="171"/>
      <c r="O6" s="171"/>
      <c r="Q6" s="185" t="s">
        <v>81</v>
      </c>
      <c r="R6" s="185"/>
      <c r="S6" s="185"/>
      <c r="T6" s="185"/>
    </row>
    <row r="7" spans="1:26" ht="15" customHeight="1" thickTop="1" x14ac:dyDescent="0.25">
      <c r="A7" s="20"/>
      <c r="B7" s="181" t="str">
        <f>REPT(" ",6)&amp;Q8&amp;", "&amp;Q9</f>
        <v xml:space="preserve">      Krškova 783/15, Praha 5 - Hlubočepy, Česká Republika, 152 00</v>
      </c>
      <c r="C7" s="182"/>
      <c r="D7" s="183" t="str">
        <f>REPT(" ",6)&amp;L8&amp;", "&amp;L9</f>
        <v xml:space="preserve">      Táborská 31, Praha 4-Nusle, Česká Republika, 140 00</v>
      </c>
      <c r="E7" s="184"/>
      <c r="F7" s="184"/>
      <c r="G7" s="184"/>
      <c r="H7" s="25"/>
      <c r="I7" s="20"/>
      <c r="K7" s="4"/>
      <c r="L7" s="170" t="str">
        <f>_xlfn.XLOOKUP(Nabídka!$Q$5,Klienti!$A$2:$A$100,Klienti!$B$2:$B$100,"",0,1)&amp;", "&amp;Nabídka!$Q$5</f>
        <v>Pavla Černá, BIZ DATA a.s.</v>
      </c>
      <c r="M7" s="170"/>
      <c r="N7" s="170"/>
      <c r="O7" s="170"/>
      <c r="Q7" s="188" t="s">
        <v>45</v>
      </c>
      <c r="R7" s="189"/>
      <c r="S7" s="189"/>
      <c r="T7" s="190"/>
    </row>
    <row r="8" spans="1:26" ht="15" customHeight="1" x14ac:dyDescent="0.25">
      <c r="A8" s="20"/>
      <c r="B8" s="181" t="str">
        <f>REPT(" ",6)&amp;Q10&amp;" , "&amp;Q11&amp;" , "&amp;Q14</f>
        <v xml:space="preserve">      +420 777 062 425 , michal@kopl.pro , https://www.kopl.pro</v>
      </c>
      <c r="C8" s="182"/>
      <c r="D8" s="183" t="str">
        <f>REPT(" ",6)&amp;L10</f>
        <v xml:space="preserve">      +420 725 960 560</v>
      </c>
      <c r="E8" s="184"/>
      <c r="F8" s="184"/>
      <c r="G8" s="184"/>
      <c r="H8" s="25"/>
      <c r="I8" s="20"/>
      <c r="K8" s="4"/>
      <c r="L8" s="170" t="str">
        <f>_xlfn.XLOOKUP(Nabídka!$Q$5,Klienti!$A$2:$A$100,Klienti!$C$2:$C$100,"",0,1)</f>
        <v>Táborská 31, Praha 4-Nusle</v>
      </c>
      <c r="M8" s="170"/>
      <c r="N8" s="170"/>
      <c r="O8" s="170"/>
      <c r="Q8" s="191" t="s">
        <v>46</v>
      </c>
      <c r="R8" s="192"/>
      <c r="S8" s="192"/>
      <c r="T8" s="193"/>
    </row>
    <row r="9" spans="1:26" ht="15" customHeight="1" x14ac:dyDescent="0.25">
      <c r="A9" s="20"/>
      <c r="B9" s="181" t="str" cm="1">
        <f t="array" ref="B9">REPT(" ",6)&amp;"BÚ:"&amp;Nabídka!Q12&amp;", VS:"&amp;TEXT(((LEFT(TEXT((MAX(VALUE(Vystavené!D14:D79))),"#0000000"),3)*1)+1)&amp;RIGHT(TEXT((MAX(VALUE(Vystavené!D14:D79))),"#0000000"),4),"#0000000")&amp;", IBAN:"&amp;Nabídka!Q13</f>
        <v xml:space="preserve">      BÚ:000000-1028895568/5500, VS:0182025, IBAN:CZ5655000000001028895568</v>
      </c>
      <c r="C9" s="182"/>
      <c r="D9" s="183" t="str">
        <f>REPT(" ",6)&amp;L11</f>
        <v xml:space="preserve">      cerna@bizdata.cz, https://www.bizdata.cz</v>
      </c>
      <c r="E9" s="184"/>
      <c r="F9" s="184"/>
      <c r="G9" s="184"/>
      <c r="H9" s="25"/>
      <c r="I9" s="20"/>
      <c r="K9" s="4"/>
      <c r="L9" s="170" t="str">
        <f>_xlfn.XLOOKUP(Nabídka!$Q$5,Klienti!$A$2:$A$100,Klienti!$E$2:$E$100,"",0,1)&amp;", "&amp;_xlfn.XLOOKUP(Nabídka!$Q$5,Klienti!$A$2:$A$100,Klienti!$D$2:$D$100,"",0,1)</f>
        <v>Česká Republika, 140 00</v>
      </c>
      <c r="M9" s="170"/>
      <c r="N9" s="170"/>
      <c r="O9" s="170"/>
      <c r="P9" s="9"/>
      <c r="Q9" s="191" t="s">
        <v>47</v>
      </c>
      <c r="R9" s="192"/>
      <c r="S9" s="192"/>
      <c r="T9" s="193"/>
    </row>
    <row r="10" spans="1:26" ht="15" customHeight="1" x14ac:dyDescent="0.25">
      <c r="A10" s="20"/>
      <c r="B10" s="181" t="str">
        <f>REPT(" ",6)&amp;Q15</f>
        <v xml:space="preserve">      IČO: 03217213, Dodavatel není plátcem DPH dle § 6 zákona o DPH.</v>
      </c>
      <c r="C10" s="182"/>
      <c r="D10" s="186" t="str">
        <f>REPT(" ",6)&amp;L12</f>
        <v xml:space="preserve">      IČO: 61858757</v>
      </c>
      <c r="E10" s="187"/>
      <c r="F10" s="187"/>
      <c r="G10" s="187"/>
      <c r="H10" s="25"/>
      <c r="I10" s="20"/>
      <c r="K10" s="4"/>
      <c r="L10" s="170" t="str">
        <f>_xlfn.XLOOKUP(Nabídka!$Q$5,Klienti!$A$2:$A$100,Klienti!$F$2:$F$100,"",0,1)</f>
        <v>+420 725 960 560</v>
      </c>
      <c r="M10" s="170"/>
      <c r="N10" s="170"/>
      <c r="O10" s="170"/>
      <c r="Q10" s="191" t="str">
        <f>"+420 777 062 425"</f>
        <v>+420 777 062 425</v>
      </c>
      <c r="R10" s="192"/>
      <c r="S10" s="192"/>
      <c r="T10" s="193"/>
    </row>
    <row r="11" spans="1:26" ht="15" customHeight="1" thickBot="1" x14ac:dyDescent="0.3">
      <c r="A11" s="20"/>
      <c r="B11" s="30"/>
      <c r="C11" s="19"/>
      <c r="D11" s="27"/>
      <c r="E11" s="20"/>
      <c r="F11" s="31"/>
      <c r="G11" s="31"/>
      <c r="H11" s="25"/>
      <c r="I11" s="20"/>
      <c r="K11" s="4"/>
      <c r="L11" s="170" t="str">
        <f>_xlfn.XLOOKUP(Nabídka!$Q$5,Klienti!$A$2:$A$100,Klienti!$G$2:$G$100,"",0,1)&amp;", "&amp;_xlfn.XLOOKUP(Nabídka!$Q$5,Klienti!$A$2:$A$100,Klienti!$H$2:$H$100,"",0,1)</f>
        <v>cerna@bizdata.cz, https://www.bizdata.cz</v>
      </c>
      <c r="M11" s="170"/>
      <c r="N11" s="170"/>
      <c r="O11" s="170"/>
      <c r="Q11" s="191" t="s">
        <v>48</v>
      </c>
      <c r="R11" s="192"/>
      <c r="S11" s="192"/>
      <c r="T11" s="193"/>
    </row>
    <row r="12" spans="1:26" ht="15" customHeight="1" thickTop="1" x14ac:dyDescent="0.25">
      <c r="A12" s="20"/>
      <c r="B12" s="32"/>
      <c r="C12" s="33"/>
      <c r="D12" s="34"/>
      <c r="E12" s="34"/>
      <c r="F12" s="35"/>
      <c r="G12" s="35"/>
      <c r="H12" s="22"/>
      <c r="I12" s="20"/>
      <c r="K12" s="4"/>
      <c r="L12" s="170" t="str">
        <f>Klienti!$I$1&amp;": "&amp;_xlfn.XLOOKUP(Nabídka!$Q$5,Klienti!$A$2:$A$100,Klienti!$I$2:$I$100,"",0,1)</f>
        <v>IČO: 61858757</v>
      </c>
      <c r="M12" s="170"/>
      <c r="N12" s="170"/>
      <c r="O12" s="170"/>
      <c r="Q12" s="191" t="s">
        <v>49</v>
      </c>
      <c r="R12" s="192"/>
      <c r="S12" s="192"/>
      <c r="T12" s="193"/>
    </row>
    <row r="13" spans="1:26" ht="15" customHeight="1" x14ac:dyDescent="0.25">
      <c r="A13" s="20"/>
      <c r="B13" s="27"/>
      <c r="C13" s="23"/>
      <c r="D13" s="29"/>
      <c r="E13" s="29"/>
      <c r="F13" s="31"/>
      <c r="G13" s="31"/>
      <c r="H13" s="25"/>
      <c r="I13" s="20"/>
      <c r="L13" s="225"/>
      <c r="M13" s="225"/>
      <c r="N13" s="225"/>
      <c r="O13" s="225"/>
      <c r="Q13" s="191" t="s">
        <v>50</v>
      </c>
      <c r="R13" s="192"/>
      <c r="S13" s="192"/>
      <c r="T13" s="193"/>
      <c r="U13" s="18" t="str">
        <f>" Kalkulátor IBAN kódu pro použití v QR kódech"</f>
        <v xml:space="preserve"> Kalkulátor IBAN kódu pro použití v QR kódech</v>
      </c>
    </row>
    <row r="14" spans="1:26" ht="15" customHeight="1" x14ac:dyDescent="0.25">
      <c r="A14" s="20"/>
      <c r="B14" s="27"/>
      <c r="C14" s="20"/>
      <c r="D14" s="36"/>
      <c r="E14" s="28"/>
      <c r="F14" s="31"/>
      <c r="G14" s="31"/>
      <c r="H14" s="25"/>
      <c r="I14" s="20"/>
      <c r="L14" s="225"/>
      <c r="M14" s="225"/>
      <c r="N14" s="225"/>
      <c r="O14" s="225"/>
      <c r="Q14" s="191" t="s">
        <v>51</v>
      </c>
      <c r="R14" s="192"/>
      <c r="S14" s="192"/>
      <c r="T14" s="193"/>
    </row>
    <row r="15" spans="1:26" ht="15" customHeight="1" thickBot="1" x14ac:dyDescent="0.3">
      <c r="A15" s="20"/>
      <c r="B15" s="27"/>
      <c r="C15" s="37" t="s">
        <v>4</v>
      </c>
      <c r="D15" s="154" t="s">
        <v>5</v>
      </c>
      <c r="E15" s="38" t="s">
        <v>101</v>
      </c>
      <c r="F15" s="39"/>
      <c r="G15" s="31"/>
      <c r="H15" s="25"/>
      <c r="I15" s="20"/>
      <c r="Q15" s="204" t="s">
        <v>182</v>
      </c>
      <c r="R15" s="205"/>
      <c r="S15" s="205"/>
      <c r="T15" s="206"/>
    </row>
    <row r="16" spans="1:26" ht="15" customHeight="1" thickTop="1" thickBot="1" x14ac:dyDescent="0.3">
      <c r="A16" s="20"/>
      <c r="B16" s="27"/>
      <c r="C16" s="71" t="str">
        <f>_xlfn.XLOOKUP(Nabídka!$Q$5,Klienti!$A$2:$A$100,Klienti!$K$2:$K$100,"",0,1)</f>
        <v>Česká Rpeublika</v>
      </c>
      <c r="D16" s="155" t="str">
        <f ca="1">TEXT(EOMONTH(TODAY(),-2)+1,"d.m.") &amp; "-" &amp; TEXT(EOMONTH(TODAY(),-1),"d.m.rrrr")</f>
        <v>1.7.-31.7.2025</v>
      </c>
      <c r="E16" s="40" t="str">
        <f>IF(L16=1,L16&amp;" hodina",IF(AND(L16&gt;1,L16&lt;5),L16&amp;" hodiny",L16&amp;" hodin"))</f>
        <v>192 hodin</v>
      </c>
      <c r="F16" s="41"/>
      <c r="G16" s="31"/>
      <c r="H16" s="25"/>
      <c r="I16" s="20"/>
      <c r="L16" s="140">
        <f>SUM($E$20:$E$42)</f>
        <v>192</v>
      </c>
      <c r="M16" s="10" t="s">
        <v>158</v>
      </c>
      <c r="T16" s="5"/>
    </row>
    <row r="17" spans="1:24" ht="15" customHeight="1" thickTop="1" x14ac:dyDescent="0.25">
      <c r="A17" s="20"/>
      <c r="B17" s="27"/>
      <c r="C17" s="20"/>
      <c r="D17" s="42"/>
      <c r="E17" s="28"/>
      <c r="F17" s="31"/>
      <c r="G17" s="31"/>
      <c r="H17" s="25"/>
      <c r="I17" s="20"/>
      <c r="L17" s="1" t="s">
        <v>56</v>
      </c>
      <c r="T17" s="6"/>
    </row>
    <row r="18" spans="1:24" ht="15" customHeight="1" x14ac:dyDescent="0.25">
      <c r="A18" s="20"/>
      <c r="B18" s="27"/>
      <c r="C18" s="37"/>
      <c r="D18" s="37"/>
      <c r="E18" s="43"/>
      <c r="F18" s="31"/>
      <c r="G18" s="31"/>
      <c r="H18" s="25"/>
      <c r="I18" s="20"/>
    </row>
    <row r="19" spans="1:24" ht="15" customHeight="1" x14ac:dyDescent="0.25">
      <c r="A19" s="20"/>
      <c r="B19" s="27"/>
      <c r="C19" s="20" t="s">
        <v>6</v>
      </c>
      <c r="D19" s="44" t="s">
        <v>7</v>
      </c>
      <c r="E19" s="40" t="s">
        <v>8</v>
      </c>
      <c r="F19" s="45" t="s">
        <v>10</v>
      </c>
      <c r="G19" s="45" t="s">
        <v>9</v>
      </c>
      <c r="H19" s="46"/>
      <c r="I19" s="20"/>
      <c r="L19" s="10" t="s">
        <v>159</v>
      </c>
    </row>
    <row r="20" spans="1:24" ht="15" customHeight="1" x14ac:dyDescent="0.25">
      <c r="A20" s="20"/>
      <c r="B20" s="27"/>
      <c r="C20" s="100" t="s">
        <v>93</v>
      </c>
      <c r="D20" s="101" t="s">
        <v>34</v>
      </c>
      <c r="E20" s="101">
        <v>60</v>
      </c>
      <c r="F20" s="123">
        <v>625</v>
      </c>
      <c r="G20" s="124">
        <f t="shared" ref="G20:G42" si="0">IF(AND((C20&lt;&gt;""),(D20&lt;&gt;""),(E20&lt;&gt;""),(F20&lt;&gt;"")),(E20*F20),"")</f>
        <v>37500</v>
      </c>
      <c r="H20" s="46"/>
      <c r="I20" s="20"/>
      <c r="L20" s="1" t="s">
        <v>52</v>
      </c>
      <c r="W20" s="69"/>
    </row>
    <row r="21" spans="1:24" ht="15" customHeight="1" x14ac:dyDescent="0.25">
      <c r="A21" s="20"/>
      <c r="B21" s="27"/>
      <c r="C21" s="100" t="s">
        <v>58</v>
      </c>
      <c r="D21" s="101" t="s">
        <v>34</v>
      </c>
      <c r="E21" s="101">
        <v>12</v>
      </c>
      <c r="F21" s="123">
        <v>625</v>
      </c>
      <c r="G21" s="124">
        <f t="shared" si="0"/>
        <v>7500</v>
      </c>
      <c r="H21" s="46"/>
      <c r="I21" s="20"/>
      <c r="L21" s="1" t="s">
        <v>38</v>
      </c>
      <c r="M21" s="7"/>
      <c r="W21" s="69"/>
    </row>
    <row r="22" spans="1:24" ht="15" customHeight="1" x14ac:dyDescent="0.25">
      <c r="A22" s="20"/>
      <c r="B22" s="27"/>
      <c r="C22" s="100" t="s">
        <v>59</v>
      </c>
      <c r="D22" s="101" t="s">
        <v>34</v>
      </c>
      <c r="E22" s="101">
        <v>43</v>
      </c>
      <c r="F22" s="123">
        <v>625</v>
      </c>
      <c r="G22" s="124">
        <f t="shared" si="0"/>
        <v>26875</v>
      </c>
      <c r="H22" s="46"/>
      <c r="I22" s="20"/>
      <c r="L22" s="10" t="s">
        <v>160</v>
      </c>
      <c r="M22" s="7"/>
      <c r="W22" s="69"/>
    </row>
    <row r="23" spans="1:24" ht="15" customHeight="1" x14ac:dyDescent="0.25">
      <c r="A23" s="20"/>
      <c r="B23" s="27"/>
      <c r="C23" s="100" t="s">
        <v>94</v>
      </c>
      <c r="D23" s="101" t="s">
        <v>34</v>
      </c>
      <c r="E23" s="101">
        <v>16</v>
      </c>
      <c r="F23" s="123">
        <v>625</v>
      </c>
      <c r="G23" s="124">
        <f t="shared" si="0"/>
        <v>10000</v>
      </c>
      <c r="H23" s="46"/>
      <c r="I23" s="20"/>
      <c r="L23" s="10"/>
      <c r="M23" s="7"/>
      <c r="W23" s="69"/>
    </row>
    <row r="24" spans="1:24" ht="15" customHeight="1" x14ac:dyDescent="0.25">
      <c r="A24" s="20"/>
      <c r="B24" s="27"/>
      <c r="C24" s="100" t="s">
        <v>60</v>
      </c>
      <c r="D24" s="101" t="s">
        <v>34</v>
      </c>
      <c r="E24" s="101">
        <v>12</v>
      </c>
      <c r="F24" s="123">
        <v>625</v>
      </c>
      <c r="G24" s="124">
        <f t="shared" si="0"/>
        <v>7500</v>
      </c>
      <c r="H24" s="46"/>
      <c r="I24" s="20"/>
      <c r="M24" s="7"/>
      <c r="W24" s="69"/>
    </row>
    <row r="25" spans="1:24" ht="15" customHeight="1" x14ac:dyDescent="0.25">
      <c r="A25" s="20"/>
      <c r="B25" s="27"/>
      <c r="C25" s="100" t="s">
        <v>61</v>
      </c>
      <c r="D25" s="101" t="s">
        <v>34</v>
      </c>
      <c r="E25" s="101">
        <v>15</v>
      </c>
      <c r="F25" s="123">
        <v>625</v>
      </c>
      <c r="G25" s="124">
        <f t="shared" si="0"/>
        <v>9375</v>
      </c>
      <c r="H25" s="46"/>
      <c r="I25" s="20"/>
      <c r="L25" s="10" t="s">
        <v>161</v>
      </c>
      <c r="M25" s="7"/>
      <c r="W25" s="69"/>
    </row>
    <row r="26" spans="1:24" ht="15" customHeight="1" x14ac:dyDescent="0.25">
      <c r="A26" s="20"/>
      <c r="B26" s="27"/>
      <c r="C26" s="100" t="s">
        <v>90</v>
      </c>
      <c r="D26" s="101" t="s">
        <v>34</v>
      </c>
      <c r="E26" s="101">
        <v>2</v>
      </c>
      <c r="F26" s="123">
        <v>625</v>
      </c>
      <c r="G26" s="124">
        <f t="shared" si="0"/>
        <v>1250</v>
      </c>
      <c r="H26" s="46"/>
      <c r="I26" s="20"/>
      <c r="M26" s="7"/>
      <c r="O26" s="148"/>
      <c r="P26" s="148"/>
      <c r="Q26" s="148"/>
      <c r="R26" s="148"/>
      <c r="S26" s="148"/>
      <c r="T26" s="148"/>
      <c r="U26" s="148"/>
      <c r="V26" s="148"/>
      <c r="W26" s="148"/>
      <c r="X26" s="148"/>
    </row>
    <row r="27" spans="1:24" ht="15" customHeight="1" x14ac:dyDescent="0.25">
      <c r="A27" s="20"/>
      <c r="B27" s="27"/>
      <c r="C27" s="100" t="s">
        <v>99</v>
      </c>
      <c r="D27" s="101" t="s">
        <v>34</v>
      </c>
      <c r="E27" s="101">
        <v>9</v>
      </c>
      <c r="F27" s="123">
        <v>625</v>
      </c>
      <c r="G27" s="124">
        <f t="shared" si="0"/>
        <v>5625</v>
      </c>
      <c r="H27" s="46"/>
      <c r="I27" s="20"/>
      <c r="M27" s="7"/>
      <c r="O27" s="148"/>
      <c r="P27" s="148"/>
      <c r="Q27" s="148"/>
      <c r="R27" s="148"/>
      <c r="S27" s="148"/>
      <c r="T27" s="148"/>
      <c r="U27" s="148"/>
      <c r="V27" s="148"/>
      <c r="W27" s="148"/>
      <c r="X27" s="148"/>
    </row>
    <row r="28" spans="1:24" ht="15" customHeight="1" x14ac:dyDescent="0.25">
      <c r="A28" s="20"/>
      <c r="B28" s="27"/>
      <c r="C28" s="100" t="s">
        <v>175</v>
      </c>
      <c r="D28" s="101" t="s">
        <v>34</v>
      </c>
      <c r="E28" s="101">
        <v>23</v>
      </c>
      <c r="F28" s="123">
        <v>625</v>
      </c>
      <c r="G28" s="124">
        <f t="shared" si="0"/>
        <v>14375</v>
      </c>
      <c r="H28" s="46"/>
      <c r="I28" s="20"/>
      <c r="M28" s="7"/>
      <c r="O28" s="148"/>
      <c r="P28" s="148"/>
      <c r="Q28" s="148"/>
      <c r="R28" s="148"/>
      <c r="S28" s="148"/>
      <c r="T28" s="148"/>
      <c r="U28" s="148"/>
      <c r="V28" s="148"/>
      <c r="W28" s="148"/>
      <c r="X28" s="148"/>
    </row>
    <row r="29" spans="1:24" ht="15" customHeight="1" x14ac:dyDescent="0.25">
      <c r="A29" s="20"/>
      <c r="B29" s="27"/>
      <c r="C29" s="102"/>
      <c r="D29" s="101"/>
      <c r="E29" s="101"/>
      <c r="F29" s="123"/>
      <c r="G29" s="124" t="str">
        <f t="shared" si="0"/>
        <v/>
      </c>
      <c r="H29" s="46"/>
      <c r="I29" s="20"/>
      <c r="M29" s="7"/>
      <c r="O29" s="148"/>
      <c r="P29" s="148"/>
      <c r="Q29" s="148"/>
      <c r="R29" s="148"/>
      <c r="S29" s="148"/>
      <c r="T29" s="148"/>
      <c r="U29" s="148"/>
      <c r="V29" s="148"/>
      <c r="W29" s="148"/>
      <c r="X29" s="148"/>
    </row>
    <row r="30" spans="1:24" ht="15" customHeight="1" x14ac:dyDescent="0.25">
      <c r="A30" s="20"/>
      <c r="B30" s="27"/>
      <c r="C30" s="100"/>
      <c r="D30" s="101"/>
      <c r="E30" s="101"/>
      <c r="F30" s="123"/>
      <c r="G30" s="124" t="str">
        <f t="shared" si="0"/>
        <v/>
      </c>
      <c r="H30" s="46"/>
      <c r="I30" s="20"/>
      <c r="M30" s="7"/>
      <c r="O30" s="148"/>
      <c r="P30" s="148"/>
      <c r="Q30" s="148"/>
      <c r="R30" s="148"/>
      <c r="S30" s="148"/>
      <c r="T30" s="148"/>
      <c r="U30" s="148"/>
      <c r="V30" s="148"/>
      <c r="W30" s="148"/>
      <c r="X30" s="148"/>
    </row>
    <row r="31" spans="1:24" ht="15" customHeight="1" x14ac:dyDescent="0.25">
      <c r="A31" s="20"/>
      <c r="B31" s="27"/>
      <c r="C31" s="100"/>
      <c r="D31" s="101"/>
      <c r="E31" s="101"/>
      <c r="F31" s="123"/>
      <c r="G31" s="124" t="str">
        <f t="shared" si="0"/>
        <v/>
      </c>
      <c r="H31" s="46"/>
      <c r="I31" s="20"/>
      <c r="M31" s="7"/>
      <c r="O31" s="148"/>
      <c r="P31" s="148"/>
      <c r="Q31" s="148"/>
      <c r="R31" s="148"/>
      <c r="S31" s="148"/>
      <c r="T31" s="148"/>
      <c r="U31" s="148"/>
      <c r="V31" s="148"/>
      <c r="W31" s="148"/>
      <c r="X31" s="148"/>
    </row>
    <row r="32" spans="1:24" ht="15" customHeight="1" thickBot="1" x14ac:dyDescent="0.3">
      <c r="A32" s="20"/>
      <c r="B32" s="27"/>
      <c r="C32" s="100"/>
      <c r="D32" s="101"/>
      <c r="E32" s="101"/>
      <c r="F32" s="123"/>
      <c r="G32" s="124" t="str">
        <f t="shared" si="0"/>
        <v/>
      </c>
      <c r="H32" s="46"/>
      <c r="I32" s="20"/>
      <c r="L32" s="76"/>
      <c r="M32" s="76"/>
      <c r="N32" s="76"/>
      <c r="O32" s="148"/>
      <c r="P32" s="148"/>
      <c r="Q32" s="148"/>
      <c r="R32" s="148"/>
      <c r="S32" s="148"/>
      <c r="T32" s="148"/>
      <c r="U32" s="148"/>
      <c r="V32" s="148"/>
      <c r="W32" s="148"/>
      <c r="X32" s="148"/>
    </row>
    <row r="33" spans="1:24" ht="15" customHeight="1" thickTop="1" thickBot="1" x14ac:dyDescent="0.3">
      <c r="A33" s="20"/>
      <c r="B33" s="27"/>
      <c r="C33" s="100"/>
      <c r="D33" s="101"/>
      <c r="E33" s="101"/>
      <c r="F33" s="123"/>
      <c r="G33" s="124" t="str">
        <f t="shared" si="0"/>
        <v/>
      </c>
      <c r="H33" s="46"/>
      <c r="I33" s="20"/>
      <c r="L33" s="174" t="s">
        <v>35</v>
      </c>
      <c r="M33" s="175"/>
      <c r="N33" s="76"/>
      <c r="O33" s="148"/>
      <c r="P33" s="148"/>
      <c r="Q33" s="148"/>
      <c r="R33" s="148"/>
      <c r="S33" s="148"/>
      <c r="T33" s="148"/>
      <c r="U33" s="148"/>
      <c r="V33" s="148"/>
      <c r="W33" s="148"/>
      <c r="X33" s="148"/>
    </row>
    <row r="34" spans="1:24" ht="15" customHeight="1" thickTop="1" x14ac:dyDescent="0.25">
      <c r="A34" s="20"/>
      <c r="B34" s="27"/>
      <c r="C34" s="100"/>
      <c r="D34" s="101"/>
      <c r="E34" s="101"/>
      <c r="F34" s="123"/>
      <c r="G34" s="124" t="str">
        <f t="shared" si="0"/>
        <v/>
      </c>
      <c r="H34" s="46"/>
      <c r="I34" s="20"/>
      <c r="L34" s="227" t="s">
        <v>37</v>
      </c>
      <c r="M34" s="226"/>
      <c r="N34" s="226"/>
      <c r="O34" s="226"/>
      <c r="P34" s="226"/>
      <c r="Q34" s="226"/>
      <c r="R34" s="226"/>
      <c r="S34" s="226"/>
      <c r="T34" s="226"/>
      <c r="U34" s="226"/>
      <c r="W34" s="69"/>
    </row>
    <row r="35" spans="1:24" ht="15" customHeight="1" x14ac:dyDescent="0.25">
      <c r="A35" s="20"/>
      <c r="B35" s="27"/>
      <c r="C35" s="100"/>
      <c r="D35" s="101"/>
      <c r="E35" s="101"/>
      <c r="F35" s="123"/>
      <c r="G35" s="124" t="str">
        <f t="shared" si="0"/>
        <v/>
      </c>
      <c r="H35" s="46"/>
      <c r="I35" s="20"/>
      <c r="L35" s="226"/>
      <c r="M35" s="226"/>
      <c r="N35" s="226"/>
      <c r="O35" s="226"/>
      <c r="P35" s="226"/>
      <c r="Q35" s="226"/>
      <c r="R35" s="226"/>
      <c r="S35" s="226"/>
      <c r="T35" s="226"/>
      <c r="U35" s="226"/>
      <c r="W35" s="69"/>
    </row>
    <row r="36" spans="1:24" ht="15" customHeight="1" x14ac:dyDescent="0.25">
      <c r="A36" s="20"/>
      <c r="B36" s="27"/>
      <c r="C36" s="100"/>
      <c r="D36" s="101"/>
      <c r="E36" s="101"/>
      <c r="F36" s="123"/>
      <c r="G36" s="124" t="str">
        <f t="shared" si="0"/>
        <v/>
      </c>
      <c r="H36" s="46"/>
      <c r="I36" s="20"/>
      <c r="L36" s="226"/>
      <c r="M36" s="226"/>
      <c r="N36" s="226"/>
      <c r="O36" s="226"/>
      <c r="P36" s="226"/>
      <c r="Q36" s="226"/>
      <c r="R36" s="226"/>
      <c r="S36" s="226"/>
      <c r="T36" s="226"/>
      <c r="U36" s="226"/>
      <c r="W36" s="69"/>
    </row>
    <row r="37" spans="1:24" ht="15" customHeight="1" x14ac:dyDescent="0.25">
      <c r="A37" s="20"/>
      <c r="B37" s="27"/>
      <c r="C37" s="100"/>
      <c r="D37" s="101"/>
      <c r="E37" s="101"/>
      <c r="F37" s="123"/>
      <c r="G37" s="124" t="str">
        <f t="shared" si="0"/>
        <v/>
      </c>
      <c r="H37" s="46"/>
      <c r="I37" s="20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W37" s="69"/>
    </row>
    <row r="38" spans="1:24" ht="15" customHeight="1" x14ac:dyDescent="0.25">
      <c r="A38" s="20"/>
      <c r="B38" s="27"/>
      <c r="C38" s="100"/>
      <c r="D38" s="101"/>
      <c r="E38" s="101"/>
      <c r="F38" s="123"/>
      <c r="G38" s="124" t="str">
        <f t="shared" si="0"/>
        <v/>
      </c>
      <c r="H38" s="46"/>
      <c r="I38" s="20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W38" s="69"/>
    </row>
    <row r="39" spans="1:24" ht="15" customHeight="1" thickBot="1" x14ac:dyDescent="0.3">
      <c r="A39" s="20"/>
      <c r="B39" s="27"/>
      <c r="C39" s="100"/>
      <c r="D39" s="101"/>
      <c r="E39" s="101"/>
      <c r="F39" s="123"/>
      <c r="G39" s="124" t="str">
        <f t="shared" si="0"/>
        <v/>
      </c>
      <c r="H39" s="46"/>
      <c r="I39" s="20"/>
      <c r="L39" s="17" t="s">
        <v>162</v>
      </c>
      <c r="M39" s="17"/>
      <c r="N39" s="17"/>
      <c r="O39" s="17"/>
      <c r="W39" s="69"/>
    </row>
    <row r="40" spans="1:24" ht="15" customHeight="1" thickTop="1" x14ac:dyDescent="0.25">
      <c r="A40" s="20"/>
      <c r="B40" s="27"/>
      <c r="C40" s="100"/>
      <c r="D40" s="101"/>
      <c r="E40" s="101"/>
      <c r="F40" s="123"/>
      <c r="G40" s="124" t="str">
        <f t="shared" si="0"/>
        <v/>
      </c>
      <c r="H40" s="46"/>
      <c r="I40" s="20"/>
      <c r="L40" s="198" t="s">
        <v>19</v>
      </c>
      <c r="M40" s="199"/>
      <c r="N40" s="199"/>
      <c r="O40" s="200"/>
      <c r="W40" s="69"/>
    </row>
    <row r="41" spans="1:24" ht="15" customHeight="1" thickBot="1" x14ac:dyDescent="0.3">
      <c r="A41" s="20"/>
      <c r="B41" s="27"/>
      <c r="C41" s="100"/>
      <c r="D41" s="101"/>
      <c r="E41" s="101"/>
      <c r="F41" s="123"/>
      <c r="G41" s="124" t="str">
        <f t="shared" si="0"/>
        <v/>
      </c>
      <c r="H41" s="46"/>
      <c r="I41" s="20"/>
      <c r="L41" s="201" t="s">
        <v>20</v>
      </c>
      <c r="M41" s="202"/>
      <c r="N41" s="202"/>
      <c r="O41" s="203"/>
      <c r="R41" s="7"/>
      <c r="W41" s="69"/>
    </row>
    <row r="42" spans="1:24" ht="15" customHeight="1" thickTop="1" x14ac:dyDescent="0.25">
      <c r="A42" s="20"/>
      <c r="B42" s="27"/>
      <c r="C42" s="100"/>
      <c r="D42" s="101"/>
      <c r="E42" s="101"/>
      <c r="F42" s="123"/>
      <c r="G42" s="124" t="str">
        <f t="shared" si="0"/>
        <v/>
      </c>
      <c r="H42" s="47"/>
      <c r="I42" s="20"/>
      <c r="W42" s="69"/>
    </row>
    <row r="43" spans="1:24" ht="15" customHeight="1" thickBot="1" x14ac:dyDescent="0.3">
      <c r="A43" s="20"/>
      <c r="B43" s="27"/>
      <c r="C43" s="20"/>
      <c r="D43" s="20"/>
      <c r="E43" s="178" t="s">
        <v>11</v>
      </c>
      <c r="F43" s="179"/>
      <c r="G43" s="158">
        <f>SUM(G20:G42)</f>
        <v>120000</v>
      </c>
      <c r="H43" s="46"/>
      <c r="I43" s="20"/>
      <c r="L43" s="17" t="s">
        <v>16</v>
      </c>
      <c r="W43" s="69"/>
    </row>
    <row r="44" spans="1:24" ht="15" customHeight="1" x14ac:dyDescent="0.25">
      <c r="A44" s="20"/>
      <c r="B44" s="27"/>
      <c r="C44" s="20"/>
      <c r="D44" s="20"/>
      <c r="E44" s="48"/>
      <c r="F44" s="48"/>
      <c r="G44" s="49"/>
      <c r="H44" s="46"/>
      <c r="I44" s="20"/>
      <c r="L44" s="17"/>
      <c r="W44" s="69"/>
    </row>
    <row r="45" spans="1:24" ht="15" customHeight="1" x14ac:dyDescent="0.25">
      <c r="A45" s="20"/>
      <c r="B45" s="27"/>
      <c r="C45" s="20"/>
      <c r="D45" s="20"/>
      <c r="E45" s="43"/>
      <c r="F45" s="50"/>
      <c r="G45" s="50"/>
      <c r="H45" s="46"/>
      <c r="I45" s="20"/>
      <c r="M45" s="7"/>
      <c r="W45" s="69"/>
    </row>
    <row r="46" spans="1:24" ht="15" customHeight="1" x14ac:dyDescent="0.25">
      <c r="A46" s="20"/>
      <c r="B46" s="27"/>
      <c r="C46" s="20" t="s">
        <v>12</v>
      </c>
      <c r="D46" s="44" t="s">
        <v>7</v>
      </c>
      <c r="E46" s="38" t="s">
        <v>8</v>
      </c>
      <c r="F46" s="45" t="s">
        <v>10</v>
      </c>
      <c r="G46" s="45" t="s">
        <v>9</v>
      </c>
      <c r="H46" s="46"/>
      <c r="I46" s="20"/>
      <c r="L46" s="10" t="s">
        <v>163</v>
      </c>
      <c r="M46" s="7"/>
      <c r="W46" s="69"/>
    </row>
    <row r="47" spans="1:24" ht="15" customHeight="1" x14ac:dyDescent="0.25">
      <c r="A47" s="20"/>
      <c r="B47" s="27"/>
      <c r="C47" s="102" t="s">
        <v>98</v>
      </c>
      <c r="D47" s="101" t="s">
        <v>97</v>
      </c>
      <c r="E47" s="101">
        <v>1</v>
      </c>
      <c r="F47" s="123">
        <v>508</v>
      </c>
      <c r="G47" s="124">
        <f t="shared" ref="G47:G52" si="1">IF(AND((C47&lt;&gt;""),(D47&lt;&gt;""),(E47&lt;&gt;""),(F47&lt;&gt;"")),(E47*F47),"")</f>
        <v>508</v>
      </c>
      <c r="H47" s="46"/>
      <c r="I47" s="20"/>
      <c r="L47" s="1" t="s">
        <v>52</v>
      </c>
      <c r="M47" s="7"/>
      <c r="W47" s="69"/>
    </row>
    <row r="48" spans="1:24" ht="15" customHeight="1" x14ac:dyDescent="0.25">
      <c r="A48" s="20"/>
      <c r="B48" s="27"/>
      <c r="C48" s="102" t="s">
        <v>102</v>
      </c>
      <c r="D48" s="101" t="s">
        <v>97</v>
      </c>
      <c r="E48" s="101">
        <v>1</v>
      </c>
      <c r="F48" s="123">
        <v>29.88</v>
      </c>
      <c r="G48" s="124">
        <f t="shared" si="1"/>
        <v>29.88</v>
      </c>
      <c r="H48" s="46"/>
      <c r="I48" s="20"/>
      <c r="L48" s="1" t="s">
        <v>38</v>
      </c>
      <c r="M48" s="7"/>
      <c r="W48" s="69"/>
    </row>
    <row r="49" spans="1:81" ht="15" customHeight="1" x14ac:dyDescent="0.25">
      <c r="A49" s="20"/>
      <c r="B49" s="27"/>
      <c r="C49" s="102"/>
      <c r="D49" s="101"/>
      <c r="E49" s="101"/>
      <c r="F49" s="123"/>
      <c r="G49" s="124" t="str">
        <f t="shared" si="1"/>
        <v/>
      </c>
      <c r="H49" s="46"/>
      <c r="I49" s="20"/>
      <c r="L49" s="11" t="s">
        <v>164</v>
      </c>
      <c r="W49" s="69"/>
    </row>
    <row r="50" spans="1:81" ht="15" customHeight="1" x14ac:dyDescent="0.25">
      <c r="A50" s="20"/>
      <c r="B50" s="27"/>
      <c r="C50" s="102"/>
      <c r="D50" s="101"/>
      <c r="E50" s="101"/>
      <c r="F50" s="123"/>
      <c r="G50" s="124" t="str">
        <f t="shared" si="1"/>
        <v/>
      </c>
      <c r="H50" s="46"/>
      <c r="I50" s="20"/>
      <c r="L50" s="10" t="s">
        <v>165</v>
      </c>
      <c r="W50" s="69"/>
    </row>
    <row r="51" spans="1:81" ht="15" customHeight="1" x14ac:dyDescent="0.25">
      <c r="A51" s="20"/>
      <c r="B51" s="27"/>
      <c r="C51" s="102"/>
      <c r="D51" s="101"/>
      <c r="E51" s="101"/>
      <c r="F51" s="123"/>
      <c r="G51" s="124" t="str">
        <f t="shared" si="1"/>
        <v/>
      </c>
      <c r="H51" s="46"/>
      <c r="I51" s="20"/>
      <c r="L51" s="10"/>
    </row>
    <row r="52" spans="1:81" ht="15" customHeight="1" x14ac:dyDescent="0.25">
      <c r="A52" s="20"/>
      <c r="B52" s="27"/>
      <c r="C52" s="102"/>
      <c r="D52" s="101"/>
      <c r="E52" s="101"/>
      <c r="F52" s="123"/>
      <c r="G52" s="124" t="str">
        <f t="shared" si="1"/>
        <v/>
      </c>
      <c r="H52" s="47"/>
      <c r="I52" s="20"/>
    </row>
    <row r="53" spans="1:81" ht="15" customHeight="1" thickBot="1" x14ac:dyDescent="0.3">
      <c r="A53" s="20"/>
      <c r="B53" s="27"/>
      <c r="C53" s="20"/>
      <c r="D53" s="20"/>
      <c r="E53" s="162" t="s">
        <v>13</v>
      </c>
      <c r="F53" s="163"/>
      <c r="G53" s="126">
        <f>SUM(G47:G52)</f>
        <v>537.88</v>
      </c>
      <c r="H53" s="47"/>
      <c r="I53" s="20"/>
      <c r="L53" s="17" t="s">
        <v>17</v>
      </c>
    </row>
    <row r="54" spans="1:81" ht="15" customHeight="1" x14ac:dyDescent="0.25">
      <c r="A54" s="20"/>
      <c r="B54" s="27"/>
      <c r="C54" s="20"/>
      <c r="D54" s="37"/>
      <c r="E54" s="43"/>
      <c r="F54" s="51"/>
      <c r="G54" s="52"/>
      <c r="H54" s="47"/>
      <c r="I54" s="20"/>
      <c r="L54" s="17"/>
    </row>
    <row r="55" spans="1:81" ht="15" customHeight="1" thickBot="1" x14ac:dyDescent="0.3">
      <c r="A55" s="20"/>
      <c r="B55" s="27"/>
      <c r="C55" s="20"/>
      <c r="D55" s="20"/>
      <c r="E55" s="20"/>
      <c r="F55" s="20"/>
      <c r="G55" s="20"/>
      <c r="H55" s="47"/>
      <c r="I55" s="20"/>
      <c r="M55" s="13"/>
    </row>
    <row r="56" spans="1:81" ht="15" customHeight="1" thickTop="1" thickBot="1" x14ac:dyDescent="0.3">
      <c r="A56" s="20"/>
      <c r="B56" s="27"/>
      <c r="C56" s="120" t="s">
        <v>40</v>
      </c>
      <c r="D56" s="20"/>
      <c r="E56" s="77"/>
      <c r="F56" s="135" t="s">
        <v>14</v>
      </c>
      <c r="G56" s="151">
        <f>(G43+G53)</f>
        <v>120537.88</v>
      </c>
      <c r="H56" s="47"/>
      <c r="I56" s="20"/>
      <c r="J56" s="13"/>
      <c r="K56" s="13"/>
      <c r="L56" s="1" t="s">
        <v>18</v>
      </c>
      <c r="M56" s="10"/>
      <c r="P56" s="13"/>
      <c r="Q56" s="13"/>
      <c r="R56" s="13"/>
      <c r="S56" s="13"/>
    </row>
    <row r="57" spans="1:81" ht="15" customHeight="1" thickTop="1" thickBot="1" x14ac:dyDescent="0.3">
      <c r="A57" s="20"/>
      <c r="B57" s="27"/>
      <c r="C57" s="20" t="str">
        <f>L40</f>
        <v>Obsah článků, obrázky ke zveřejnění, dokumenty ke zveřejnění.</v>
      </c>
      <c r="D57" s="20"/>
      <c r="E57" s="85"/>
      <c r="F57" s="136" t="str">
        <f>"Celkem s DPH "&amp;(L57*100)&amp;"% ("&amp;TEXT(ROUNDUP((G57-G56),0),"# ###")&amp;" Kč):"</f>
        <v>Celkem s DPH 0% ( Kč):</v>
      </c>
      <c r="G57" s="128">
        <f>G56+((G43+G53)*L57)</f>
        <v>120537.88</v>
      </c>
      <c r="H57" s="47"/>
      <c r="I57" s="20"/>
      <c r="J57" s="13"/>
      <c r="K57" s="13"/>
      <c r="L57" s="141">
        <v>0</v>
      </c>
      <c r="M57" s="10" t="s">
        <v>166</v>
      </c>
      <c r="N57" s="13"/>
      <c r="O57" s="13"/>
      <c r="P57" s="62"/>
      <c r="Q57" s="62"/>
      <c r="R57" s="62"/>
      <c r="S57" s="62"/>
    </row>
    <row r="58" spans="1:81" ht="15" customHeight="1" thickTop="1" thickBot="1" x14ac:dyDescent="0.3">
      <c r="A58" s="20"/>
      <c r="B58" s="27"/>
      <c r="C58" s="20" t="str">
        <f>L41</f>
        <v>Fakturační údaje, Kontaktní údaje.</v>
      </c>
      <c r="D58" s="20"/>
      <c r="E58" s="99"/>
      <c r="F58" s="137" t="str">
        <f>"Záloha "&amp; (L58*100) &amp;"%:"</f>
        <v>Záloha 50%:</v>
      </c>
      <c r="G58" s="129">
        <f>ROUNDUP((G57*L58),0)</f>
        <v>60269</v>
      </c>
      <c r="H58" s="79"/>
      <c r="I58" s="80"/>
      <c r="J58" s="81"/>
      <c r="K58" s="81"/>
      <c r="L58" s="142">
        <v>0.5</v>
      </c>
      <c r="M58" s="10" t="s">
        <v>167</v>
      </c>
      <c r="N58" s="62"/>
      <c r="O58" s="62"/>
      <c r="P58" s="62"/>
      <c r="Q58" s="62"/>
      <c r="R58" s="62"/>
      <c r="S58" s="6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</row>
    <row r="59" spans="1:81" ht="15" customHeight="1" thickTop="1" x14ac:dyDescent="0.25">
      <c r="A59" s="20"/>
      <c r="B59" s="27"/>
      <c r="C59" s="20"/>
      <c r="D59" s="20"/>
      <c r="E59" s="43"/>
      <c r="F59" s="67"/>
      <c r="G59" s="68" t="s">
        <v>41</v>
      </c>
      <c r="H59" s="79"/>
      <c r="I59" s="80"/>
      <c r="J59" s="81"/>
      <c r="K59" s="81"/>
      <c r="L59" s="62"/>
      <c r="M59" s="10"/>
      <c r="N59" s="62"/>
      <c r="O59" s="62"/>
      <c r="P59" s="62"/>
      <c r="Q59" s="62"/>
      <c r="R59" s="62"/>
      <c r="S59" s="6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2"/>
      <c r="AW59" s="82"/>
      <c r="AX59" s="82"/>
      <c r="AY59" s="82"/>
      <c r="AZ59" s="82"/>
      <c r="BA59" s="82"/>
      <c r="BB59" s="82"/>
      <c r="BC59" s="82"/>
      <c r="BD59" s="82"/>
      <c r="BE59" s="82"/>
      <c r="BF59" s="82"/>
      <c r="BG59" s="82"/>
      <c r="BH59" s="82"/>
      <c r="BI59" s="82"/>
      <c r="BJ59" s="82"/>
      <c r="BK59" s="82"/>
      <c r="BL59" s="82"/>
      <c r="BM59" s="82"/>
      <c r="BN59" s="82"/>
      <c r="BO59" s="82"/>
      <c r="BP59" s="82"/>
      <c r="BQ59" s="82"/>
      <c r="BR59" s="82"/>
      <c r="BS59" s="82"/>
      <c r="BT59" s="82"/>
      <c r="BU59" s="82"/>
      <c r="BV59" s="82"/>
      <c r="BW59" s="82"/>
      <c r="BX59" s="82"/>
      <c r="BY59" s="82"/>
      <c r="BZ59" s="82"/>
      <c r="CA59" s="82"/>
      <c r="CB59" s="82"/>
      <c r="CC59" s="82"/>
    </row>
    <row r="60" spans="1:81" ht="15" customHeight="1" x14ac:dyDescent="0.25">
      <c r="A60" s="20"/>
      <c r="B60" s="27"/>
      <c r="C60" s="20"/>
      <c r="D60" s="20"/>
      <c r="E60" s="43"/>
      <c r="F60" s="50"/>
      <c r="G60" s="20"/>
      <c r="H60" s="79"/>
      <c r="I60" s="80"/>
      <c r="J60" s="81"/>
      <c r="K60" s="81"/>
      <c r="L60" s="62"/>
      <c r="M60" s="62"/>
      <c r="N60" s="62"/>
      <c r="O60" s="62"/>
      <c r="P60" s="62"/>
      <c r="Q60" s="62"/>
      <c r="R60" s="62"/>
      <c r="S60" s="6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</row>
    <row r="61" spans="1:81" ht="15" customHeight="1" x14ac:dyDescent="0.25">
      <c r="A61" s="20"/>
      <c r="B61" s="27"/>
      <c r="C61" s="80"/>
      <c r="D61" s="83"/>
      <c r="E61" s="80"/>
      <c r="F61" s="80"/>
      <c r="G61" s="80"/>
      <c r="H61" s="79"/>
      <c r="I61" s="80"/>
      <c r="J61" s="81"/>
      <c r="K61" s="81"/>
      <c r="L61" s="62"/>
      <c r="M61" s="62"/>
      <c r="N61" s="62"/>
      <c r="O61" s="62"/>
      <c r="P61" s="62"/>
      <c r="Q61" s="62"/>
      <c r="R61" s="62"/>
      <c r="S61" s="6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2"/>
      <c r="BS61" s="82"/>
      <c r="BT61" s="82"/>
      <c r="BU61" s="82"/>
      <c r="BV61" s="82"/>
      <c r="BW61" s="82"/>
      <c r="BX61" s="82"/>
      <c r="BY61" s="82"/>
      <c r="BZ61" s="82"/>
      <c r="CA61" s="82"/>
      <c r="CB61" s="82"/>
      <c r="CC61" s="82"/>
    </row>
    <row r="62" spans="1:81" ht="15" customHeight="1" x14ac:dyDescent="0.25">
      <c r="A62" s="20"/>
      <c r="B62" s="27"/>
      <c r="C62" s="80"/>
      <c r="D62" s="80"/>
      <c r="E62" s="80"/>
      <c r="F62" s="80"/>
      <c r="G62" s="80"/>
      <c r="H62" s="79"/>
      <c r="I62" s="80"/>
      <c r="J62" s="81"/>
      <c r="K62" s="81"/>
      <c r="L62" s="62"/>
      <c r="M62" s="62"/>
      <c r="N62" s="62"/>
      <c r="O62" s="62"/>
      <c r="P62" s="62"/>
      <c r="Q62" s="62"/>
      <c r="R62" s="62"/>
      <c r="S62" s="6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  <c r="BD62" s="82"/>
      <c r="BE62" s="82"/>
      <c r="BF62" s="82"/>
      <c r="BG62" s="82"/>
      <c r="BH62" s="82"/>
      <c r="BI62" s="82"/>
      <c r="BJ62" s="82"/>
      <c r="BK62" s="82"/>
      <c r="BL62" s="82"/>
      <c r="BM62" s="82"/>
      <c r="BN62" s="82"/>
      <c r="BO62" s="82"/>
      <c r="BP62" s="82"/>
      <c r="BQ62" s="82"/>
      <c r="BR62" s="82"/>
      <c r="BS62" s="82"/>
      <c r="BT62" s="82"/>
      <c r="BU62" s="82"/>
      <c r="BV62" s="82"/>
      <c r="BW62" s="82"/>
      <c r="BX62" s="82"/>
      <c r="BY62" s="82"/>
      <c r="BZ62" s="82"/>
      <c r="CA62" s="82"/>
      <c r="CB62" s="82"/>
      <c r="CC62" s="82"/>
    </row>
    <row r="63" spans="1:81" ht="15" customHeight="1" x14ac:dyDescent="0.25">
      <c r="A63" s="20"/>
      <c r="B63" s="27"/>
      <c r="C63"/>
      <c r="D63" s="80"/>
      <c r="E63" s="80"/>
      <c r="F63" s="80"/>
      <c r="G63" s="80"/>
      <c r="H63" s="79"/>
      <c r="I63" s="80"/>
      <c r="J63" s="81"/>
      <c r="K63" s="81"/>
      <c r="L63" s="62"/>
      <c r="M63" s="62"/>
      <c r="N63" s="62"/>
      <c r="O63" s="62"/>
      <c r="P63" s="62"/>
      <c r="Q63" s="62"/>
      <c r="R63" s="62"/>
      <c r="S63" s="62"/>
      <c r="T63" s="82"/>
      <c r="U63" s="82"/>
      <c r="V63" s="82"/>
      <c r="W63" s="82"/>
      <c r="X63" s="82"/>
      <c r="Y63" s="82"/>
      <c r="Z63" s="82"/>
      <c r="AA63" s="82"/>
      <c r="AB63" s="82"/>
      <c r="AC63" s="82"/>
      <c r="AD63" s="82"/>
      <c r="AE63" s="82"/>
      <c r="AF63" s="82"/>
      <c r="AG63" s="82"/>
      <c r="AH63" s="82"/>
      <c r="AI63" s="82"/>
      <c r="AJ63" s="82"/>
      <c r="AK63" s="82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  <c r="BD63" s="82"/>
      <c r="BE63" s="82"/>
      <c r="BF63" s="82"/>
      <c r="BG63" s="82"/>
      <c r="BH63" s="82"/>
      <c r="BI63" s="82"/>
      <c r="BJ63" s="82"/>
      <c r="BK63" s="82"/>
      <c r="BL63" s="82"/>
      <c r="BM63" s="82"/>
      <c r="BN63" s="82"/>
      <c r="BO63" s="82"/>
      <c r="BP63" s="82"/>
      <c r="BQ63" s="82"/>
      <c r="BR63" s="82"/>
      <c r="BS63" s="82"/>
      <c r="BT63" s="82"/>
      <c r="BU63" s="82"/>
      <c r="BV63" s="82"/>
      <c r="BW63" s="82"/>
      <c r="BX63" s="82"/>
      <c r="BY63" s="82"/>
      <c r="BZ63" s="82"/>
      <c r="CA63" s="82"/>
      <c r="CB63" s="82"/>
      <c r="CC63" s="82"/>
    </row>
    <row r="64" spans="1:81" ht="15" customHeight="1" x14ac:dyDescent="0.25">
      <c r="A64" s="20"/>
      <c r="B64" s="27"/>
      <c r="C64"/>
      <c r="D64" s="80"/>
      <c r="E64" s="80"/>
      <c r="F64" s="80"/>
      <c r="G64" s="80"/>
      <c r="H64" s="79"/>
      <c r="I64" s="80"/>
      <c r="J64" s="81"/>
      <c r="K64" s="239"/>
      <c r="L64" s="240"/>
      <c r="M64" s="240"/>
      <c r="N64" s="62"/>
      <c r="O64" s="62"/>
      <c r="P64" s="62"/>
      <c r="Q64" s="62"/>
      <c r="R64" s="62"/>
      <c r="S64" s="6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</row>
    <row r="65" spans="1:81" ht="15" customHeight="1" x14ac:dyDescent="0.25">
      <c r="A65" s="20"/>
      <c r="B65" s="27"/>
      <c r="C65" s="80"/>
      <c r="D65" s="80"/>
      <c r="E65" s="80"/>
      <c r="F65" s="80"/>
      <c r="G65" s="80"/>
      <c r="H65" s="79"/>
      <c r="I65" s="80"/>
      <c r="J65" s="81"/>
      <c r="K65" s="239"/>
      <c r="L65" s="242"/>
      <c r="M65" s="241"/>
      <c r="N65" s="62"/>
      <c r="O65" s="62"/>
      <c r="P65" s="62"/>
      <c r="Q65" s="62"/>
      <c r="R65" s="62"/>
      <c r="S65" s="6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</row>
    <row r="66" spans="1:81" ht="15" customHeight="1" x14ac:dyDescent="0.25">
      <c r="A66" s="20"/>
      <c r="B66" s="27"/>
      <c r="C66" s="80"/>
      <c r="D66" s="80"/>
      <c r="E66" s="80"/>
      <c r="F66" s="80"/>
      <c r="G66" s="80"/>
      <c r="H66" s="47"/>
      <c r="I66" s="20"/>
      <c r="J66" s="13"/>
      <c r="K66" s="13"/>
      <c r="N66" s="62"/>
      <c r="O66" s="62"/>
      <c r="P66" s="62"/>
      <c r="Q66" s="62"/>
      <c r="R66" s="62"/>
      <c r="S66" s="62"/>
    </row>
    <row r="67" spans="1:81" ht="15" customHeight="1" x14ac:dyDescent="0.25">
      <c r="A67" s="20"/>
      <c r="B67" s="27"/>
      <c r="C67" s="80"/>
      <c r="D67" s="80"/>
      <c r="E67" s="80"/>
      <c r="F67" s="80"/>
      <c r="G67" s="80"/>
      <c r="H67" s="47"/>
      <c r="I67" s="20"/>
      <c r="J67" s="13"/>
      <c r="K67" s="13"/>
      <c r="L67" s="62"/>
      <c r="M67" s="62"/>
      <c r="N67" s="62"/>
      <c r="O67" s="62"/>
      <c r="P67" s="62"/>
      <c r="Q67" s="62"/>
      <c r="R67" s="62"/>
      <c r="S67" s="62"/>
    </row>
    <row r="68" spans="1:81" ht="15" customHeight="1" x14ac:dyDescent="0.25">
      <c r="A68" s="20"/>
      <c r="B68" s="27"/>
      <c r="C68" s="80"/>
      <c r="D68" s="80"/>
      <c r="E68" s="80"/>
      <c r="F68" s="80"/>
      <c r="G68" s="80"/>
      <c r="H68" s="47"/>
      <c r="I68" s="20"/>
      <c r="J68" s="13"/>
      <c r="K68" s="13"/>
      <c r="L68" s="62"/>
      <c r="M68" s="62"/>
      <c r="N68" s="62"/>
      <c r="O68" s="62"/>
      <c r="P68" s="62"/>
      <c r="Q68" s="62"/>
      <c r="R68" s="62"/>
      <c r="S68" s="62"/>
    </row>
    <row r="69" spans="1:81" ht="15" customHeight="1" x14ac:dyDescent="0.25">
      <c r="A69" s="20"/>
      <c r="B69" s="27"/>
      <c r="C69" s="53"/>
      <c r="D69" s="54"/>
      <c r="E69" s="28"/>
      <c r="F69" s="51"/>
      <c r="G69" s="55"/>
      <c r="H69" s="47"/>
      <c r="I69" s="20"/>
      <c r="J69" s="13"/>
      <c r="K69" s="13"/>
      <c r="L69" s="62"/>
      <c r="M69" s="62"/>
      <c r="N69" s="62"/>
      <c r="O69" s="62"/>
      <c r="P69" s="63"/>
      <c r="Q69" s="62"/>
      <c r="R69" s="62"/>
      <c r="S69" s="62"/>
    </row>
    <row r="70" spans="1:81" ht="15" customHeight="1" x14ac:dyDescent="0.25">
      <c r="A70" s="20"/>
      <c r="B70" s="27"/>
      <c r="C70" s="53"/>
      <c r="D70" s="54"/>
      <c r="E70" s="28"/>
      <c r="F70" s="51"/>
      <c r="G70" s="55"/>
      <c r="H70" s="47"/>
      <c r="I70" s="20"/>
      <c r="J70" s="13"/>
      <c r="K70" s="13"/>
      <c r="L70" s="63"/>
      <c r="M70" s="63"/>
      <c r="N70" s="63"/>
      <c r="O70" s="63"/>
      <c r="P70" s="63"/>
      <c r="Q70" s="62"/>
      <c r="R70" s="62"/>
      <c r="S70" s="62"/>
    </row>
    <row r="71" spans="1:81" ht="15" customHeight="1" x14ac:dyDescent="0.25">
      <c r="A71" s="20"/>
      <c r="B71" s="27"/>
      <c r="C71" s="84"/>
      <c r="D71" s="54"/>
      <c r="E71" s="28"/>
      <c r="F71" s="51"/>
      <c r="G71" s="55"/>
      <c r="H71" s="56"/>
      <c r="I71" s="20"/>
      <c r="J71" s="13"/>
      <c r="K71" s="13"/>
      <c r="L71" s="63"/>
      <c r="M71" s="63"/>
      <c r="N71" s="63"/>
      <c r="O71" s="63"/>
      <c r="P71" s="63"/>
      <c r="Q71" s="62"/>
      <c r="R71" s="62"/>
      <c r="S71" s="62"/>
    </row>
    <row r="72" spans="1:81" ht="15" customHeight="1" x14ac:dyDescent="0.25">
      <c r="A72" s="20"/>
      <c r="B72" s="27"/>
      <c r="C72" s="20"/>
      <c r="D72" s="20"/>
      <c r="E72" s="43"/>
      <c r="F72" s="51"/>
      <c r="G72" s="55"/>
      <c r="H72" s="56"/>
      <c r="I72" s="20"/>
      <c r="J72" s="13"/>
      <c r="K72" s="13"/>
      <c r="L72" s="63"/>
      <c r="M72" s="63"/>
      <c r="N72" s="63"/>
      <c r="O72" s="63"/>
      <c r="P72" s="63"/>
      <c r="Q72" s="62"/>
      <c r="R72" s="62"/>
      <c r="S72" s="62"/>
    </row>
    <row r="73" spans="1:81" ht="15" customHeight="1" x14ac:dyDescent="0.25">
      <c r="A73" s="20"/>
      <c r="B73" s="27"/>
      <c r="C73" s="20"/>
      <c r="D73" s="20"/>
      <c r="E73" s="57"/>
      <c r="F73" s="37"/>
      <c r="G73" s="55"/>
      <c r="H73" s="56"/>
      <c r="I73" s="20"/>
      <c r="J73" s="13"/>
      <c r="K73" s="13"/>
      <c r="L73" s="63"/>
      <c r="M73" s="63"/>
      <c r="N73" s="63"/>
      <c r="O73" s="63"/>
      <c r="P73" s="63"/>
      <c r="Q73" s="62"/>
      <c r="R73" s="62"/>
      <c r="S73" s="62"/>
    </row>
    <row r="74" spans="1:81" ht="15" customHeight="1" x14ac:dyDescent="0.25">
      <c r="A74" s="20"/>
      <c r="B74" s="27"/>
      <c r="C74" s="44"/>
      <c r="D74" s="20"/>
      <c r="E74" s="28"/>
      <c r="F74" s="20"/>
      <c r="G74" s="20"/>
      <c r="H74" s="47"/>
      <c r="I74" s="20"/>
      <c r="J74" s="13"/>
      <c r="K74" s="13"/>
      <c r="L74" s="63"/>
      <c r="M74" s="63"/>
      <c r="N74" s="63"/>
      <c r="O74" s="63"/>
      <c r="P74" s="63"/>
      <c r="Q74" s="62"/>
      <c r="R74" s="62"/>
      <c r="S74" s="62"/>
    </row>
    <row r="75" spans="1:81" ht="15" customHeight="1" x14ac:dyDescent="0.25">
      <c r="A75" s="20"/>
      <c r="B75" s="27"/>
      <c r="C75" s="20"/>
      <c r="D75" s="20"/>
      <c r="E75" s="51"/>
      <c r="F75" s="51"/>
      <c r="G75" s="51"/>
      <c r="H75" s="47"/>
      <c r="I75" s="20"/>
      <c r="J75" s="13"/>
      <c r="K75" s="13"/>
      <c r="L75" s="63"/>
      <c r="M75" s="63"/>
      <c r="N75" s="63"/>
      <c r="O75" s="63"/>
      <c r="P75" s="62"/>
      <c r="Q75" s="62"/>
      <c r="R75" s="62"/>
      <c r="S75" s="62"/>
    </row>
    <row r="76" spans="1:81" ht="15" customHeight="1" x14ac:dyDescent="0.2">
      <c r="A76" s="20"/>
      <c r="B76" s="27"/>
      <c r="C76" s="44" t="s">
        <v>0</v>
      </c>
      <c r="D76" s="20"/>
      <c r="E76" s="229"/>
      <c r="F76" s="229"/>
      <c r="G76" s="229"/>
      <c r="H76" s="25"/>
      <c r="I76" s="20"/>
      <c r="J76" s="13"/>
      <c r="K76" s="13"/>
      <c r="L76" s="62"/>
      <c r="M76" s="62"/>
      <c r="N76" s="62"/>
      <c r="O76" s="62"/>
      <c r="P76" s="62"/>
      <c r="Q76" s="62"/>
      <c r="R76" s="62"/>
      <c r="S76" s="62"/>
    </row>
    <row r="77" spans="1:81" ht="15" customHeight="1" x14ac:dyDescent="0.25">
      <c r="A77" s="20"/>
      <c r="B77" s="27"/>
      <c r="C77" s="44" t="str">
        <f>Q7</f>
        <v>Michal Kopl, Kopl Pro</v>
      </c>
      <c r="D77" s="228"/>
      <c r="E77" s="236" t="str">
        <f>"Záloha "&amp;TEXT(G58,"### ##0 Kč")&amp;" - rychlá QR platba" &amp; REPT(" ",4)</f>
        <v xml:space="preserve">Záloha 60 269 Kč - rychlá QR platba    </v>
      </c>
      <c r="F77" s="236"/>
      <c r="G77" s="236"/>
      <c r="H77" s="25"/>
      <c r="I77" s="20"/>
      <c r="J77" s="13"/>
      <c r="K77" s="13"/>
      <c r="L77" s="62"/>
      <c r="M77" s="64"/>
      <c r="N77" s="62"/>
      <c r="O77" s="62"/>
      <c r="P77" s="62"/>
      <c r="Q77" s="62"/>
      <c r="R77" s="62"/>
      <c r="S77" s="62"/>
    </row>
    <row r="78" spans="1:81" ht="15" customHeight="1" x14ac:dyDescent="0.25">
      <c r="A78" s="20"/>
      <c r="B78" s="27"/>
      <c r="C78" s="58" t="str">
        <f>Q10</f>
        <v>+420 777 062 425</v>
      </c>
      <c r="D78" s="159"/>
      <c r="E78" s="238"/>
      <c r="F78" s="237"/>
      <c r="G78" s="237" t="str">
        <f>"Platbou zálohy potvrzujete nabídku." &amp; REPT(" ",3)</f>
        <v xml:space="preserve">Platbou zálohy potvrzujete nabídku.   </v>
      </c>
      <c r="H78" s="25"/>
      <c r="I78" s="20"/>
      <c r="J78" s="13"/>
      <c r="K78" s="13"/>
      <c r="L78" s="65"/>
      <c r="M78" s="62"/>
      <c r="N78" s="62"/>
      <c r="O78" s="62"/>
      <c r="P78" s="62"/>
      <c r="Q78" s="62"/>
      <c r="R78" s="62"/>
      <c r="S78" s="62"/>
    </row>
    <row r="79" spans="1:81" ht="15" customHeight="1" x14ac:dyDescent="0.25">
      <c r="A79" s="20"/>
      <c r="B79" s="27"/>
      <c r="C79" s="8" t="str">
        <f>Q11</f>
        <v>michal@kopl.pro</v>
      </c>
      <c r="D79" s="20"/>
      <c r="E79" s="28"/>
      <c r="F79" s="31"/>
      <c r="G79" s="20"/>
      <c r="H79" s="25"/>
      <c r="I79" s="20"/>
      <c r="J79" s="13"/>
      <c r="K79" s="13"/>
      <c r="L79" s="62"/>
      <c r="M79" s="62"/>
      <c r="N79" s="62"/>
      <c r="O79" s="62"/>
      <c r="P79" s="62"/>
      <c r="Q79" s="62"/>
      <c r="R79" s="62"/>
      <c r="S79" s="62"/>
    </row>
    <row r="80" spans="1:81" ht="15" customHeight="1" thickBot="1" x14ac:dyDescent="0.3">
      <c r="A80" s="20"/>
      <c r="B80" s="30"/>
      <c r="C80" s="59"/>
      <c r="D80" s="59"/>
      <c r="E80" s="60"/>
      <c r="F80" s="61"/>
      <c r="G80" s="59"/>
      <c r="H80" s="26"/>
      <c r="I80" s="20"/>
      <c r="J80" s="13"/>
      <c r="K80" s="13"/>
      <c r="L80" s="62"/>
      <c r="M80" s="62"/>
      <c r="N80" s="62"/>
      <c r="O80" s="62"/>
      <c r="P80" s="62"/>
      <c r="Q80" s="62"/>
      <c r="R80" s="62"/>
      <c r="S80" s="62"/>
    </row>
    <row r="81" spans="1:19" ht="15" customHeight="1" thickTop="1" thickBot="1" x14ac:dyDescent="0.3">
      <c r="A81" s="20"/>
      <c r="B81" s="20"/>
      <c r="C81" s="20"/>
      <c r="D81" s="20"/>
      <c r="E81" s="28"/>
      <c r="F81" s="31"/>
      <c r="G81" s="31"/>
      <c r="H81" s="20"/>
      <c r="I81" s="20"/>
      <c r="J81" s="15"/>
      <c r="K81" s="13"/>
      <c r="L81" s="62"/>
      <c r="M81" s="62"/>
      <c r="N81" s="62"/>
      <c r="O81" s="62"/>
      <c r="P81" s="62"/>
      <c r="Q81" s="62"/>
      <c r="R81" s="62"/>
      <c r="S81" s="62"/>
    </row>
    <row r="82" spans="1:19" ht="15" thickTop="1" x14ac:dyDescent="0.25">
      <c r="I82" s="2"/>
      <c r="J82" s="13"/>
      <c r="K82" s="13"/>
      <c r="L82" s="62"/>
      <c r="M82" s="62"/>
      <c r="N82" s="62"/>
      <c r="O82" s="62"/>
      <c r="P82" s="62"/>
      <c r="Q82" s="62"/>
      <c r="R82" s="62"/>
      <c r="S82" s="62"/>
    </row>
    <row r="83" spans="1:19" x14ac:dyDescent="0.25">
      <c r="F83" s="3"/>
      <c r="G83" s="3"/>
      <c r="J83" s="13"/>
      <c r="K83" s="13"/>
      <c r="L83" s="62"/>
      <c r="M83" s="62"/>
      <c r="N83" s="62"/>
      <c r="O83" s="62"/>
      <c r="P83" s="62"/>
      <c r="Q83" s="62"/>
      <c r="R83" s="62"/>
      <c r="S83" s="62"/>
    </row>
    <row r="84" spans="1:19" x14ac:dyDescent="0.25">
      <c r="J84" s="13"/>
      <c r="K84" s="13"/>
      <c r="L84" s="62"/>
      <c r="M84" s="62"/>
      <c r="N84" s="62"/>
      <c r="O84" s="62"/>
      <c r="P84" s="13"/>
      <c r="Q84" s="13"/>
      <c r="R84" s="13"/>
      <c r="S84" s="13"/>
    </row>
    <row r="85" spans="1:19" x14ac:dyDescent="0.25">
      <c r="J85" s="13"/>
      <c r="K85" s="13"/>
      <c r="L85" s="13" t="s">
        <v>21</v>
      </c>
      <c r="M85" s="13"/>
      <c r="N85" s="13"/>
      <c r="O85" s="13"/>
      <c r="P85" s="13"/>
      <c r="Q85" s="13"/>
      <c r="R85" s="13"/>
      <c r="S85" s="13"/>
    </row>
    <row r="86" spans="1:19" x14ac:dyDescent="0.25">
      <c r="J86" s="13"/>
      <c r="K86" s="13"/>
      <c r="L86" s="13" t="s">
        <v>39</v>
      </c>
      <c r="M86" s="13"/>
      <c r="N86" s="13"/>
      <c r="O86" s="13"/>
      <c r="P86" s="13"/>
      <c r="Q86" s="13"/>
      <c r="R86" s="13"/>
      <c r="S86" s="13"/>
    </row>
    <row r="87" spans="1:19" x14ac:dyDescent="0.25"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5" x14ac:dyDescent="0.25">
      <c r="C88" s="66"/>
      <c r="J88" s="13"/>
      <c r="K88" s="13"/>
      <c r="L88" s="13"/>
      <c r="M88" s="13"/>
      <c r="N88" s="13"/>
      <c r="O88" s="13"/>
      <c r="P88" s="13"/>
      <c r="Q88" s="13"/>
      <c r="R88" s="13"/>
      <c r="S88" s="13"/>
    </row>
    <row r="89" spans="1:19" x14ac:dyDescent="0.25"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x14ac:dyDescent="0.25"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x14ac:dyDescent="0.25">
      <c r="J91" s="13"/>
      <c r="K91" s="13"/>
      <c r="L91" s="13"/>
      <c r="M91" s="13"/>
      <c r="N91" s="13"/>
      <c r="O91" s="13"/>
      <c r="P91" s="13"/>
      <c r="Q91" s="13"/>
      <c r="R91" s="13"/>
      <c r="S91" s="13"/>
    </row>
    <row r="92" spans="1:19" x14ac:dyDescent="0.25"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x14ac:dyDescent="0.25"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x14ac:dyDescent="0.25">
      <c r="J94" s="13"/>
      <c r="K94" s="13"/>
      <c r="L94" s="13"/>
      <c r="M94" s="13"/>
      <c r="N94" s="13"/>
      <c r="O94" s="13"/>
      <c r="P94" s="13"/>
      <c r="Q94" s="13"/>
      <c r="R94" s="13"/>
      <c r="S94" s="13"/>
    </row>
    <row r="95" spans="1:19" ht="15" x14ac:dyDescent="0.25">
      <c r="D95" s="4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x14ac:dyDescent="0.25"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0:19" x14ac:dyDescent="0.25">
      <c r="J97" s="13"/>
      <c r="K97" s="13"/>
      <c r="L97" s="13"/>
      <c r="M97" s="13"/>
      <c r="N97" s="13"/>
      <c r="O97" s="13"/>
      <c r="P97" s="13"/>
      <c r="Q97" s="13"/>
      <c r="R97" s="13"/>
      <c r="S97" s="13"/>
    </row>
    <row r="98" spans="10:19" x14ac:dyDescent="0.25"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0:19" x14ac:dyDescent="0.25"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0:19" x14ac:dyDescent="0.25"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0:19" x14ac:dyDescent="0.25"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0:19" x14ac:dyDescent="0.25"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0:19" x14ac:dyDescent="0.25">
      <c r="J103" s="13"/>
      <c r="K103" s="13"/>
      <c r="L103" s="13"/>
      <c r="M103" s="13"/>
      <c r="N103" s="13"/>
      <c r="O103" s="13"/>
      <c r="P103" s="13"/>
      <c r="Q103" s="13"/>
      <c r="R103" s="13"/>
      <c r="S103" s="13"/>
    </row>
    <row r="104" spans="10:19" x14ac:dyDescent="0.25"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0:19" x14ac:dyDescent="0.25"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0:19" x14ac:dyDescent="0.25">
      <c r="J106" s="13"/>
      <c r="K106" s="13"/>
      <c r="L106" s="13"/>
      <c r="M106" s="13"/>
      <c r="N106" s="13"/>
      <c r="O106" s="13"/>
      <c r="P106" s="13"/>
      <c r="Q106" s="13"/>
      <c r="R106" s="13"/>
      <c r="S106" s="13"/>
    </row>
    <row r="107" spans="10:19" x14ac:dyDescent="0.25"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0:19" x14ac:dyDescent="0.25"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0:19" x14ac:dyDescent="0.25">
      <c r="J109" s="13"/>
      <c r="K109" s="13"/>
      <c r="L109" s="13"/>
      <c r="M109" s="13"/>
      <c r="N109" s="13"/>
      <c r="O109" s="13"/>
      <c r="P109" s="13"/>
      <c r="Q109" s="13"/>
      <c r="R109" s="13"/>
      <c r="S109" s="13"/>
    </row>
    <row r="110" spans="10:19" x14ac:dyDescent="0.25"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0:19" x14ac:dyDescent="0.25"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0:19" x14ac:dyDescent="0.25">
      <c r="J112" s="13"/>
      <c r="K112" s="13"/>
      <c r="L112" s="13"/>
      <c r="M112" s="13"/>
      <c r="N112" s="13"/>
      <c r="O112" s="13"/>
      <c r="P112" s="13"/>
      <c r="Q112" s="13"/>
      <c r="R112" s="13"/>
      <c r="S112" s="13"/>
    </row>
    <row r="113" spans="10:19" x14ac:dyDescent="0.25"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0:19" x14ac:dyDescent="0.25"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0:19" x14ac:dyDescent="0.25"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0:19" x14ac:dyDescent="0.25"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0:19" x14ac:dyDescent="0.25"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0:19" x14ac:dyDescent="0.25">
      <c r="J118" s="13"/>
      <c r="K118" s="13"/>
      <c r="L118" s="13"/>
      <c r="M118" s="13"/>
      <c r="N118" s="13"/>
      <c r="O118" s="13"/>
      <c r="P118" s="13"/>
      <c r="Q118" s="13"/>
      <c r="R118" s="13"/>
      <c r="S118" s="13"/>
    </row>
    <row r="119" spans="10:19" x14ac:dyDescent="0.25">
      <c r="L119" s="13"/>
      <c r="M119" s="13"/>
      <c r="N119" s="13"/>
      <c r="O119" s="13"/>
    </row>
  </sheetData>
  <sheetProtection formatCells="0" formatColumns="0" formatRows="0" insertColumns="0" insertRows="0" insertHyperlinks="0" deleteColumns="0" deleteRows="0" sort="0" autoFilter="0" pivotTables="0"/>
  <protectedRanges>
    <protectedRange sqref="C77:C79" name="PodpisVzorce"/>
    <protectedRange sqref="F56:G58" name="CelkemVzorce"/>
    <protectedRange sqref="G47:G53" name="NakladyKProplaceniVzorce"/>
    <protectedRange sqref="C47:F52" name="NakladyKProplaceni"/>
    <protectedRange sqref="C20:F42" name="CinnostiKEditaci"/>
    <protectedRange sqref="G20:G43" name="CinnostiVzorce"/>
    <protectedRange sqref="B6:C11" name="DodavatelVListuVzorce"/>
    <protectedRange sqref="D6:G11" name="ZakaznikVListuVzorce"/>
  </protectedRanges>
  <mergeCells count="48">
    <mergeCell ref="E76:G76"/>
    <mergeCell ref="E77:G77"/>
    <mergeCell ref="B10:C10"/>
    <mergeCell ref="L14:O14"/>
    <mergeCell ref="L13:O13"/>
    <mergeCell ref="L11:O11"/>
    <mergeCell ref="Q14:T14"/>
    <mergeCell ref="Q11:T11"/>
    <mergeCell ref="Q15:T15"/>
    <mergeCell ref="Q12:T12"/>
    <mergeCell ref="Q13:T13"/>
    <mergeCell ref="Q10:T10"/>
    <mergeCell ref="Q5:T5"/>
    <mergeCell ref="Q4:T4"/>
    <mergeCell ref="L40:O40"/>
    <mergeCell ref="L41:O41"/>
    <mergeCell ref="L34:U38"/>
    <mergeCell ref="D10:G10"/>
    <mergeCell ref="L8:O8"/>
    <mergeCell ref="L9:O9"/>
    <mergeCell ref="L10:O10"/>
    <mergeCell ref="D6:G6"/>
    <mergeCell ref="B7:C7"/>
    <mergeCell ref="D7:G7"/>
    <mergeCell ref="D8:G8"/>
    <mergeCell ref="D9:G9"/>
    <mergeCell ref="Q6:T6"/>
    <mergeCell ref="Q7:T7"/>
    <mergeCell ref="Q8:T8"/>
    <mergeCell ref="Q9:T9"/>
    <mergeCell ref="B8:C8"/>
    <mergeCell ref="B9:C9"/>
    <mergeCell ref="L1:V2"/>
    <mergeCell ref="E53:F53"/>
    <mergeCell ref="E3:F3"/>
    <mergeCell ref="E2:F2"/>
    <mergeCell ref="E4:G4"/>
    <mergeCell ref="L7:O7"/>
    <mergeCell ref="L4:O4"/>
    <mergeCell ref="L6:O6"/>
    <mergeCell ref="L12:O12"/>
    <mergeCell ref="D5:G5"/>
    <mergeCell ref="L33:M33"/>
    <mergeCell ref="L5:O5"/>
    <mergeCell ref="B2:D4"/>
    <mergeCell ref="E43:F43"/>
    <mergeCell ref="B5:C5"/>
    <mergeCell ref="B6:C6"/>
  </mergeCells>
  <dataValidations count="1">
    <dataValidation type="list" allowBlank="1" showInputMessage="1" showErrorMessage="1" sqref="Q5:T5" xr:uid="{197AC94D-C10E-45E3-97B0-A9888220E7EB}">
      <formula1>Firmy</formula1>
    </dataValidation>
  </dataValidations>
  <hyperlinks>
    <hyperlink ref="C79" r:id="rId1" display="michal@kopl.pro" xr:uid="{03D0D9F7-F9C1-47D9-99E8-66C4E7A98A34}"/>
    <hyperlink ref="Q11" r:id="rId2" xr:uid="{D87CFEA0-0FCD-4BF4-B76D-0384A5DAEBAE}"/>
    <hyperlink ref="Q14" r:id="rId3" xr:uid="{CC41383F-F481-4FBF-8FF4-8E8BF0573C19}"/>
    <hyperlink ref="U13" r:id="rId4" display="IBAN Kalkulátor" xr:uid="{1B51A204-7CDC-4155-AD6E-8D8A9A16A74F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0" orientation="portrait" r:id="rId5"/>
  <headerFooter alignWithMargins="0">
    <oddFooter>&amp;CTato nabídka je vystavena elektronicky, aby šetřila přírodu. Je podepsána kvalifikovaným certifikátem CA PostSignum a má stejnou právní váhu jako listinný dokument.</oddFooter>
  </headerFooter>
  <ignoredErrors>
    <ignoredError sqref="Q10 L8:O12 M7:O7 L16" unlockedFormula="1"/>
  </ignoredErrors>
  <drawing r:id="rId6"/>
  <tableParts count="4"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822AF-FE19-414F-A432-C52BECB7CC08}">
  <sheetPr codeName="Sheet6">
    <tabColor theme="9" tint="0.39997558519241921"/>
  </sheetPr>
  <dimension ref="A1:CC118"/>
  <sheetViews>
    <sheetView tabSelected="1" zoomScaleNormal="100" zoomScalePageLayoutView="25" workbookViewId="0"/>
  </sheetViews>
  <sheetFormatPr defaultColWidth="9.140625" defaultRowHeight="14.25" x14ac:dyDescent="0.25"/>
  <cols>
    <col min="1" max="2" width="3.28515625" style="1" customWidth="1"/>
    <col min="3" max="3" width="77.5703125" style="1" bestFit="1" customWidth="1"/>
    <col min="4" max="4" width="13.28515625" style="1" customWidth="1"/>
    <col min="5" max="5" width="20.42578125" style="1" customWidth="1"/>
    <col min="6" max="6" width="13.42578125" style="1" bestFit="1" customWidth="1"/>
    <col min="7" max="7" width="15.7109375" style="1" customWidth="1"/>
    <col min="8" max="9" width="3.28515625" style="1" customWidth="1"/>
    <col min="10" max="11" width="9.140625" style="1"/>
    <col min="12" max="12" width="4.5703125" style="1" customWidth="1"/>
    <col min="13" max="13" width="32.7109375" style="1" bestFit="1" customWidth="1"/>
    <col min="14" max="14" width="2.140625" style="1" customWidth="1"/>
    <col min="15" max="15" width="24.28515625" style="1" customWidth="1"/>
    <col min="16" max="16" width="2.28515625" style="1" customWidth="1"/>
    <col min="17" max="19" width="9.140625" style="1"/>
    <col min="20" max="20" width="21.28515625" style="1" customWidth="1"/>
    <col min="21" max="25" width="9.140625" style="1"/>
    <col min="26" max="26" width="14.42578125" style="1" bestFit="1" customWidth="1"/>
    <col min="27" max="16384" width="9.140625" style="1"/>
  </cols>
  <sheetData>
    <row r="1" spans="1:26" ht="21" thickBot="1" x14ac:dyDescent="0.3">
      <c r="A1" s="20"/>
      <c r="B1" s="20"/>
      <c r="C1" s="20"/>
      <c r="D1" s="20"/>
      <c r="E1" s="20"/>
      <c r="F1" s="20"/>
      <c r="G1" s="20"/>
      <c r="H1" s="20"/>
      <c r="I1" s="20"/>
      <c r="L1" s="12"/>
      <c r="M1" s="12"/>
      <c r="N1" s="12"/>
      <c r="O1" s="12"/>
      <c r="P1" s="12"/>
    </row>
    <row r="2" spans="1:26" ht="21" customHeight="1" thickTop="1" thickBot="1" x14ac:dyDescent="0.3">
      <c r="A2" s="20"/>
      <c r="B2" s="176" t="str" cm="1">
        <f t="array" ref="B2">REPT(" ",20) &amp; "FAKTURA " &amp; TEXT(((LEFT(TEXT((MAX(VALUE(Vystavené!D14:D79))),"#0000000"),3)*1)+1)&amp;RIGHT(TEXT((MAX(VALUE(Vystavené!D14:D79))),"#0000000"),4),"#0000000")</f>
        <v xml:space="preserve">                    FAKTURA 0182025</v>
      </c>
      <c r="C2" s="176"/>
      <c r="D2" s="177"/>
      <c r="E2" s="166" t="s">
        <v>23</v>
      </c>
      <c r="F2" s="167"/>
      <c r="G2" s="21">
        <f ca="1">Nabídka!G2</f>
        <v>45886</v>
      </c>
      <c r="H2" s="22"/>
      <c r="I2" s="20"/>
      <c r="T2" s="16"/>
    </row>
    <row r="3" spans="1:26" ht="21" customHeight="1" thickTop="1" thickBot="1" x14ac:dyDescent="0.3">
      <c r="A3" s="20"/>
      <c r="B3" s="176"/>
      <c r="C3" s="176"/>
      <c r="D3" s="177"/>
      <c r="E3" s="164" t="s">
        <v>24</v>
      </c>
      <c r="F3" s="165"/>
      <c r="G3" s="24">
        <f ca="1">Nabídka!G2+L3</f>
        <v>45900</v>
      </c>
      <c r="H3" s="25"/>
      <c r="I3" s="20"/>
      <c r="L3" s="143">
        <v>14</v>
      </c>
      <c r="M3" s="1" t="str">
        <f>" "&amp;"doba splatnosti v kalendářních dnech"</f>
        <v xml:space="preserve"> doba splatnosti v kalendářních dnech</v>
      </c>
      <c r="T3" s="16"/>
    </row>
    <row r="4" spans="1:26" ht="15.75" customHeight="1" thickTop="1" thickBot="1" x14ac:dyDescent="0.3">
      <c r="A4" s="20"/>
      <c r="B4" s="176"/>
      <c r="C4" s="176"/>
      <c r="D4" s="177"/>
      <c r="E4" s="208" t="str">
        <f>"Název projektu: "&amp;Nabídka!L5</f>
        <v>Název projektu: Biz Data a.s.</v>
      </c>
      <c r="F4" s="209"/>
      <c r="G4" s="209"/>
      <c r="H4" s="26"/>
      <c r="I4" s="20"/>
      <c r="L4" s="152" t="s">
        <v>42</v>
      </c>
      <c r="M4" s="153"/>
      <c r="N4" s="153"/>
      <c r="O4" s="153"/>
    </row>
    <row r="5" spans="1:26" s="146" customFormat="1" ht="16.5" customHeight="1" thickTop="1" x14ac:dyDescent="0.25">
      <c r="A5" s="144"/>
      <c r="B5" s="172" t="str">
        <f>REPT(" ",6)&amp;"Dodavatel:"</f>
        <v xml:space="preserve">      Dodavatel:</v>
      </c>
      <c r="C5" s="180"/>
      <c r="D5" s="172" t="str">
        <f>REPT(" ",6)&amp;"Odběratel:"</f>
        <v xml:space="preserve">      Odběratel:</v>
      </c>
      <c r="E5" s="173"/>
      <c r="F5" s="173"/>
      <c r="G5" s="173"/>
      <c r="H5" s="145"/>
      <c r="I5" s="144"/>
      <c r="L5" s="207"/>
      <c r="M5" s="207"/>
      <c r="N5" s="207"/>
      <c r="O5" s="207"/>
      <c r="Z5" s="147"/>
    </row>
    <row r="6" spans="1:26" ht="15" customHeight="1" x14ac:dyDescent="0.25">
      <c r="A6" s="20"/>
      <c r="B6" s="181" t="str">
        <f>REPT(" ",6)&amp;Nabídka!Q7</f>
        <v xml:space="preserve">      Michal Kopl, Kopl Pro</v>
      </c>
      <c r="C6" s="182"/>
      <c r="D6" s="183" t="str">
        <f>Nabídka!D6</f>
        <v xml:space="preserve">      Pavla Černá, BIZ DATA a.s.</v>
      </c>
      <c r="E6" s="184"/>
      <c r="F6" s="184"/>
      <c r="G6" s="184"/>
      <c r="H6" s="25"/>
      <c r="I6" s="20"/>
      <c r="L6" s="210"/>
      <c r="M6" s="210"/>
      <c r="N6" s="210"/>
      <c r="O6" s="210"/>
      <c r="Q6" s="185"/>
      <c r="R6" s="185"/>
      <c r="S6" s="185"/>
      <c r="T6" s="185"/>
    </row>
    <row r="7" spans="1:26" ht="15" customHeight="1" x14ac:dyDescent="0.25">
      <c r="A7" s="20"/>
      <c r="B7" s="181" t="str">
        <f>REPT(" ",6)&amp;Nabídka!Q8&amp;", "&amp;Nabídka!Q9</f>
        <v xml:space="preserve">      Krškova 783/15, Praha 5 - Hlubočepy, Česká Republika, 152 00</v>
      </c>
      <c r="C7" s="182"/>
      <c r="D7" s="183" t="str">
        <f>Nabídka!D7</f>
        <v xml:space="preserve">      Táborská 31, Praha 4-Nusle, Česká Republika, 140 00</v>
      </c>
      <c r="E7" s="184"/>
      <c r="F7" s="184"/>
      <c r="G7" s="184"/>
      <c r="H7" s="25"/>
      <c r="I7" s="20"/>
      <c r="L7" s="211"/>
      <c r="M7" s="211"/>
      <c r="N7" s="211"/>
      <c r="O7" s="211"/>
      <c r="Q7" s="211"/>
      <c r="R7" s="211"/>
      <c r="S7" s="211"/>
      <c r="T7" s="211"/>
    </row>
    <row r="8" spans="1:26" ht="15" customHeight="1" x14ac:dyDescent="0.25">
      <c r="A8" s="20"/>
      <c r="B8" s="181" t="str">
        <f>REPT(" ",6)&amp;Nabídka!Q10&amp;" , "&amp;Nabídka!Q11&amp;" , "&amp;Nabídka!Q14</f>
        <v xml:space="preserve">      +420 777 062 425 , michal@kopl.pro , https://www.kopl.pro</v>
      </c>
      <c r="C8" s="182"/>
      <c r="D8" s="183" t="str">
        <f>Nabídka!D8</f>
        <v xml:space="preserve">      +420 725 960 560</v>
      </c>
      <c r="E8" s="184"/>
      <c r="F8" s="184"/>
      <c r="G8" s="184"/>
      <c r="H8" s="25"/>
      <c r="I8" s="20"/>
      <c r="L8" s="211"/>
      <c r="M8" s="211"/>
      <c r="N8" s="211"/>
      <c r="O8" s="211"/>
      <c r="Q8" s="211"/>
      <c r="R8" s="211"/>
      <c r="S8" s="211"/>
      <c r="T8" s="211"/>
    </row>
    <row r="9" spans="1:26" ht="15" customHeight="1" x14ac:dyDescent="0.25">
      <c r="A9" s="20"/>
      <c r="B9" s="181" t="str" cm="1">
        <f t="array" ref="B9">REPT(" ",6)&amp;"BÚ:"&amp;Nabídka!Q12&amp;", VS:"&amp;TEXT(((LEFT(TEXT((MAX(VALUE(Vystavené!D14:D79))),"#0000000"),3)*1)+1)&amp;RIGHT(TEXT((MAX(VALUE(Vystavené!D14:D79))),"#0000000"),4),"#0000000")&amp;", IBAN:"&amp;Nabídka!Q13</f>
        <v xml:space="preserve">      BÚ:000000-1028895568/5500, VS:0182025, IBAN:CZ5655000000001028895568</v>
      </c>
      <c r="C9" s="182"/>
      <c r="D9" s="183" t="str">
        <f>Nabídka!D9</f>
        <v xml:space="preserve">      cerna@bizdata.cz, https://www.bizdata.cz</v>
      </c>
      <c r="E9" s="184"/>
      <c r="F9" s="184"/>
      <c r="G9" s="184"/>
      <c r="H9" s="25"/>
      <c r="I9" s="20"/>
      <c r="L9" s="212"/>
      <c r="M9" s="212"/>
      <c r="N9" s="212"/>
      <c r="O9" s="212"/>
      <c r="P9" s="9"/>
      <c r="Q9" s="211"/>
      <c r="R9" s="211"/>
      <c r="S9" s="211"/>
      <c r="T9" s="211"/>
    </row>
    <row r="10" spans="1:26" ht="15" customHeight="1" x14ac:dyDescent="0.25">
      <c r="A10" s="20"/>
      <c r="B10" s="181" t="str">
        <f>REPT(" ",6)&amp;Nabídka!Q15</f>
        <v xml:space="preserve">      IČO: 03217213, Dodavatel není plátcem DPH dle § 6 zákona o DPH.</v>
      </c>
      <c r="C10" s="182"/>
      <c r="D10" s="183" t="str">
        <f>Nabídka!D10</f>
        <v xml:space="preserve">      IČO: 61858757</v>
      </c>
      <c r="E10" s="184"/>
      <c r="F10" s="184"/>
      <c r="G10" s="184"/>
      <c r="H10" s="25"/>
      <c r="I10" s="20"/>
      <c r="L10" s="211"/>
      <c r="M10" s="211"/>
      <c r="N10" s="211"/>
      <c r="O10" s="211"/>
      <c r="Q10" s="211"/>
      <c r="R10" s="211"/>
      <c r="S10" s="211"/>
      <c r="T10" s="211"/>
    </row>
    <row r="11" spans="1:26" ht="15" customHeight="1" thickBot="1" x14ac:dyDescent="0.3">
      <c r="A11" s="20"/>
      <c r="B11" s="30"/>
      <c r="C11" s="19"/>
      <c r="D11" s="27"/>
      <c r="E11" s="20"/>
      <c r="F11" s="31"/>
      <c r="G11" s="31"/>
      <c r="H11" s="25"/>
      <c r="I11" s="20"/>
      <c r="L11" s="213"/>
      <c r="M11" s="211"/>
      <c r="N11" s="211"/>
      <c r="O11" s="211"/>
      <c r="Q11" s="213"/>
      <c r="R11" s="211"/>
      <c r="S11" s="211"/>
      <c r="T11" s="211"/>
    </row>
    <row r="12" spans="1:26" ht="15" customHeight="1" thickTop="1" x14ac:dyDescent="0.25">
      <c r="A12" s="20"/>
      <c r="B12" s="32"/>
      <c r="C12" s="33"/>
      <c r="D12" s="34"/>
      <c r="E12" s="34"/>
      <c r="F12" s="35"/>
      <c r="G12" s="35"/>
      <c r="H12" s="22"/>
      <c r="I12" s="20"/>
      <c r="Q12" s="211"/>
      <c r="R12" s="211"/>
      <c r="S12" s="211"/>
      <c r="T12" s="211"/>
    </row>
    <row r="13" spans="1:26" ht="15" customHeight="1" x14ac:dyDescent="0.25">
      <c r="A13" s="20"/>
      <c r="B13" s="27"/>
      <c r="C13" s="23"/>
      <c r="D13" s="29"/>
      <c r="E13" s="29"/>
      <c r="F13" s="31"/>
      <c r="G13" s="31"/>
      <c r="H13" s="25"/>
      <c r="I13" s="20"/>
      <c r="Q13" s="211"/>
      <c r="R13" s="211"/>
      <c r="S13" s="211"/>
      <c r="T13" s="211"/>
      <c r="U13" s="18"/>
    </row>
    <row r="14" spans="1:26" ht="15" customHeight="1" x14ac:dyDescent="0.25">
      <c r="A14" s="20"/>
      <c r="B14" s="27"/>
      <c r="C14" s="20"/>
      <c r="D14" s="36"/>
      <c r="E14" s="28"/>
      <c r="F14" s="31"/>
      <c r="G14" s="31"/>
      <c r="H14" s="25"/>
      <c r="I14" s="20"/>
      <c r="Q14" s="213"/>
      <c r="R14" s="211"/>
      <c r="S14" s="211"/>
      <c r="T14" s="211"/>
    </row>
    <row r="15" spans="1:26" ht="15" customHeight="1" x14ac:dyDescent="0.25">
      <c r="A15" s="20"/>
      <c r="B15" s="27"/>
      <c r="C15" s="37" t="s">
        <v>4</v>
      </c>
      <c r="D15" s="154" t="s">
        <v>5</v>
      </c>
      <c r="E15" s="38" t="s">
        <v>101</v>
      </c>
      <c r="F15" s="39"/>
      <c r="G15" s="31"/>
      <c r="H15" s="25"/>
      <c r="I15" s="20"/>
      <c r="L15" s="10"/>
      <c r="M15" s="1" t="s">
        <v>56</v>
      </c>
      <c r="T15" s="5"/>
    </row>
    <row r="16" spans="1:26" ht="15" customHeight="1" x14ac:dyDescent="0.25">
      <c r="A16" s="20"/>
      <c r="B16" s="27"/>
      <c r="C16" s="20" t="str">
        <f>Nabídka!C16</f>
        <v>Česká Rpeublika</v>
      </c>
      <c r="D16" s="156">
        <f ca="1">Nabídka!G3</f>
        <v>45916</v>
      </c>
      <c r="E16" s="40" t="str">
        <f>IF(Nabídka!L16=1,Nabídka!L16&amp;" hodina",IF(AND(Nabídka!L16&gt;1,Nabídka!L16&lt;5),Nabídka!L16&amp;" hodiny",Nabídka!L16&amp;" hodin"))</f>
        <v>192 hodin</v>
      </c>
      <c r="F16" s="41"/>
      <c r="G16" s="31"/>
      <c r="H16" s="25"/>
      <c r="I16" s="20"/>
      <c r="L16" s="73"/>
      <c r="M16" s="10"/>
      <c r="T16" s="5"/>
    </row>
    <row r="17" spans="1:23" ht="15" customHeight="1" x14ac:dyDescent="0.25">
      <c r="A17" s="20"/>
      <c r="B17" s="27"/>
      <c r="C17" s="20"/>
      <c r="D17" s="42"/>
      <c r="E17" s="28"/>
      <c r="F17" s="31"/>
      <c r="G17" s="31"/>
      <c r="H17" s="25"/>
      <c r="I17" s="20"/>
      <c r="T17" s="6"/>
    </row>
    <row r="18" spans="1:23" ht="15" customHeight="1" x14ac:dyDescent="0.25">
      <c r="A18" s="20"/>
      <c r="B18" s="27"/>
      <c r="C18" s="37"/>
      <c r="D18" s="37"/>
      <c r="E18" s="43"/>
      <c r="F18" s="31"/>
      <c r="G18" s="31"/>
      <c r="H18" s="25"/>
      <c r="I18" s="20"/>
    </row>
    <row r="19" spans="1:23" ht="15" customHeight="1" x14ac:dyDescent="0.25">
      <c r="A19" s="20"/>
      <c r="B19" s="27"/>
      <c r="C19" s="20" t="s">
        <v>6</v>
      </c>
      <c r="D19" s="44" t="s">
        <v>7</v>
      </c>
      <c r="E19" s="40" t="s">
        <v>8</v>
      </c>
      <c r="F19" s="45" t="s">
        <v>10</v>
      </c>
      <c r="G19" s="45" t="s">
        <v>9</v>
      </c>
      <c r="H19" s="46"/>
      <c r="I19" s="20"/>
      <c r="L19" s="10"/>
    </row>
    <row r="20" spans="1:23" ht="15" customHeight="1" x14ac:dyDescent="0.25">
      <c r="A20" s="20"/>
      <c r="B20" s="27"/>
      <c r="C20" s="71" t="str">
        <f>IF(Nabídka!C20&lt;&gt;"",Nabídka!C20,"")</f>
        <v>IT Administrátorské a IT konzultační činnosti</v>
      </c>
      <c r="D20" s="44" t="str">
        <f>IF(Nabídka!D20&lt;&gt;"",Nabídka!D20,"")</f>
        <v>hodina</v>
      </c>
      <c r="E20" s="44">
        <f>IF(Nabídka!E20&lt;&gt;"",Nabídka!E20,"")</f>
        <v>60</v>
      </c>
      <c r="F20" s="124">
        <f>IF(Nabídka!F20&lt;&gt;"",Nabídka!F20,"")</f>
        <v>625</v>
      </c>
      <c r="G20" s="124">
        <f>IF(AND((Nabídka!C20&lt;&gt;""),(Nabídka!D20&lt;&gt;""),(Nabídka!E20&lt;&gt;""),(Nabídka!F20&lt;&gt;"")),(Nabídka!E20*Nabídka!F20),"")</f>
        <v>37500</v>
      </c>
      <c r="H20" s="46"/>
      <c r="I20" s="20"/>
      <c r="M20" s="7"/>
      <c r="W20" s="69"/>
    </row>
    <row r="21" spans="1:23" ht="15" customHeight="1" x14ac:dyDescent="0.25">
      <c r="A21" s="20"/>
      <c r="B21" s="27"/>
      <c r="C21" s="71" t="str">
        <f>IF(Nabídka!C21&lt;&gt;"",Nabídka!C21,"")</f>
        <v>Školení</v>
      </c>
      <c r="D21" s="44" t="str">
        <f>IF(Nabídka!D21&lt;&gt;"",Nabídka!D21,"")</f>
        <v>hodina</v>
      </c>
      <c r="E21" s="44">
        <f>IF(Nabídka!E21&lt;&gt;"",Nabídka!E21,"")</f>
        <v>12</v>
      </c>
      <c r="F21" s="124">
        <f>IF(Nabídka!F21&lt;&gt;"",Nabídka!F21,"")</f>
        <v>625</v>
      </c>
      <c r="G21" s="124">
        <f>IF(AND((Nabídka!C21&lt;&gt;""),(Nabídka!D21&lt;&gt;""),(Nabídka!E21&lt;&gt;""),(Nabídka!F21&lt;&gt;"")),(Nabídka!E21*Nabídka!F21),"")</f>
        <v>7500</v>
      </c>
      <c r="H21" s="46"/>
      <c r="I21" s="20"/>
      <c r="M21" s="7"/>
      <c r="W21" s="69"/>
    </row>
    <row r="22" spans="1:23" ht="15" customHeight="1" x14ac:dyDescent="0.25">
      <c r="A22" s="20"/>
      <c r="B22" s="27"/>
      <c r="C22" s="71" t="str">
        <f>IF(Nabídka!C22&lt;&gt;"",Nabídka!C22,"")</f>
        <v>Samostudium</v>
      </c>
      <c r="D22" s="44" t="str">
        <f>IF(Nabídka!D22&lt;&gt;"",Nabídka!D22,"")</f>
        <v>hodina</v>
      </c>
      <c r="E22" s="44">
        <f>IF(Nabídka!E22&lt;&gt;"",Nabídka!E22,"")</f>
        <v>43</v>
      </c>
      <c r="F22" s="124">
        <f>IF(Nabídka!F22&lt;&gt;"",Nabídka!F22,"")</f>
        <v>625</v>
      </c>
      <c r="G22" s="124">
        <f>IF(AND((Nabídka!C22&lt;&gt;""),(Nabídka!D22&lt;&gt;""),(Nabídka!E22&lt;&gt;""),(Nabídka!F22&lt;&gt;"")),(Nabídka!E22*Nabídka!F22),"")</f>
        <v>26875</v>
      </c>
      <c r="H22" s="46"/>
      <c r="I22" s="20"/>
      <c r="L22" s="10"/>
      <c r="M22" s="7"/>
      <c r="W22" s="69"/>
    </row>
    <row r="23" spans="1:23" ht="15" customHeight="1" x14ac:dyDescent="0.25">
      <c r="A23" s="20"/>
      <c r="B23" s="27"/>
      <c r="C23" s="71" t="str">
        <f>IF(Nabídka!C23&lt;&gt;"",Nabídka!C23,"")</f>
        <v>Aktualizace dokumentace</v>
      </c>
      <c r="D23" s="44" t="str">
        <f>IF(Nabídka!D23&lt;&gt;"",Nabídka!D23,"")</f>
        <v>hodina</v>
      </c>
      <c r="E23" s="44">
        <f>IF(Nabídka!E23&lt;&gt;"",Nabídka!E23,"")</f>
        <v>16</v>
      </c>
      <c r="F23" s="124">
        <f>IF(Nabídka!F23&lt;&gt;"",Nabídka!F23,"")</f>
        <v>625</v>
      </c>
      <c r="G23" s="124">
        <f>IF(AND((Nabídka!C23&lt;&gt;""),(Nabídka!D23&lt;&gt;""),(Nabídka!E23&lt;&gt;""),(Nabídka!F23&lt;&gt;"")),(Nabídka!E23*Nabídka!F23),"")</f>
        <v>10000</v>
      </c>
      <c r="H23" s="46"/>
      <c r="I23" s="20"/>
      <c r="M23" s="7"/>
      <c r="W23" s="69"/>
    </row>
    <row r="24" spans="1:23" ht="15" customHeight="1" x14ac:dyDescent="0.25">
      <c r="A24" s="20"/>
      <c r="B24" s="27"/>
      <c r="C24" s="71" t="str">
        <f>IF(Nabídka!C24&lt;&gt;"",Nabídka!C24,"")</f>
        <v>Tvorba návodů</v>
      </c>
      <c r="D24" s="44" t="str">
        <f>IF(Nabídka!D24&lt;&gt;"",Nabídka!D24,"")</f>
        <v>hodina</v>
      </c>
      <c r="E24" s="44">
        <f>IF(Nabídka!E24&lt;&gt;"",Nabídka!E24,"")</f>
        <v>12</v>
      </c>
      <c r="F24" s="124">
        <f>IF(Nabídka!F24&lt;&gt;"",Nabídka!F24,"")</f>
        <v>625</v>
      </c>
      <c r="G24" s="124">
        <f>IF(AND((Nabídka!C24&lt;&gt;""),(Nabídka!D24&lt;&gt;""),(Nabídka!E24&lt;&gt;""),(Nabídka!F24&lt;&gt;"")),(Nabídka!E24*Nabídka!F24),"")</f>
        <v>7500</v>
      </c>
      <c r="H24" s="46"/>
      <c r="I24" s="20"/>
      <c r="L24" s="10"/>
      <c r="M24" s="7"/>
      <c r="W24" s="69"/>
    </row>
    <row r="25" spans="1:23" ht="15" customHeight="1" x14ac:dyDescent="0.25">
      <c r="A25" s="20"/>
      <c r="B25" s="27"/>
      <c r="C25" s="71" t="str">
        <f>IF(Nabídka!C25&lt;&gt;"",Nabídka!C25,"")</f>
        <v>Správa systému Halo ITSM</v>
      </c>
      <c r="D25" s="44" t="str">
        <f>IF(Nabídka!D25&lt;&gt;"",Nabídka!D25,"")</f>
        <v>hodina</v>
      </c>
      <c r="E25" s="44">
        <f>IF(Nabídka!E25&lt;&gt;"",Nabídka!E25,"")</f>
        <v>15</v>
      </c>
      <c r="F25" s="124">
        <f>IF(Nabídka!F25&lt;&gt;"",Nabídka!F25,"")</f>
        <v>625</v>
      </c>
      <c r="G25" s="124">
        <f>IF(AND((Nabídka!C25&lt;&gt;""),(Nabídka!D25&lt;&gt;""),(Nabídka!E25&lt;&gt;""),(Nabídka!F25&lt;&gt;"")),(Nabídka!E25*Nabídka!F25),"")</f>
        <v>9375</v>
      </c>
      <c r="H25" s="46"/>
      <c r="I25" s="20"/>
      <c r="M25" s="7"/>
      <c r="W25" s="69"/>
    </row>
    <row r="26" spans="1:23" ht="15" customHeight="1" x14ac:dyDescent="0.25">
      <c r="A26" s="20"/>
      <c r="B26" s="27"/>
      <c r="C26" s="71" t="str">
        <f>IF(Nabídka!C26&lt;&gt;"",Nabídka!C26,"")</f>
        <v>Prezentace klávesové zkratky Windows 11</v>
      </c>
      <c r="D26" s="44" t="str">
        <f>IF(Nabídka!D26&lt;&gt;"",Nabídka!D26,"")</f>
        <v>hodina</v>
      </c>
      <c r="E26" s="44">
        <f>IF(Nabídka!E26&lt;&gt;"",Nabídka!E26,"")</f>
        <v>2</v>
      </c>
      <c r="F26" s="124">
        <f>IF(Nabídka!F26&lt;&gt;"",Nabídka!F26,"")</f>
        <v>625</v>
      </c>
      <c r="G26" s="124">
        <f>IF(AND((Nabídka!C26&lt;&gt;""),(Nabídka!D26&lt;&gt;""),(Nabídka!E26&lt;&gt;""),(Nabídka!F26&lt;&gt;"")),(Nabídka!E26*Nabídka!F26),"")</f>
        <v>1250</v>
      </c>
      <c r="H26" s="46"/>
      <c r="I26" s="20"/>
      <c r="M26" s="7"/>
      <c r="O26" s="214"/>
      <c r="P26" s="214"/>
      <c r="Q26" s="214"/>
      <c r="R26" s="214"/>
      <c r="S26" s="214"/>
      <c r="T26" s="214"/>
      <c r="W26" s="69"/>
    </row>
    <row r="27" spans="1:23" ht="15" customHeight="1" x14ac:dyDescent="0.25">
      <c r="A27" s="20"/>
      <c r="B27" s="27"/>
      <c r="C27" s="71" t="str">
        <f>IF(Nabídka!C27&lt;&gt;"",Nabídka!C27,"")</f>
        <v>SEO audit orliklake.cz</v>
      </c>
      <c r="D27" s="44" t="str">
        <f>IF(Nabídka!D27&lt;&gt;"",Nabídka!D27,"")</f>
        <v>hodina</v>
      </c>
      <c r="E27" s="44">
        <f>IF(Nabídka!E27&lt;&gt;"",Nabídka!E27,"")</f>
        <v>9</v>
      </c>
      <c r="F27" s="124">
        <f>IF(Nabídka!F27&lt;&gt;"",Nabídka!F27,"")</f>
        <v>625</v>
      </c>
      <c r="G27" s="124">
        <f>IF(AND((Nabídka!C27&lt;&gt;""),(Nabídka!D27&lt;&gt;""),(Nabídka!E27&lt;&gt;""),(Nabídka!F27&lt;&gt;"")),(Nabídka!E27*Nabídka!F27),"")</f>
        <v>5625</v>
      </c>
      <c r="H27" s="46"/>
      <c r="I27" s="20"/>
      <c r="M27" s="7"/>
      <c r="O27" s="214"/>
      <c r="P27" s="214"/>
      <c r="Q27" s="214"/>
      <c r="R27" s="214"/>
      <c r="S27" s="214"/>
      <c r="T27" s="214"/>
      <c r="W27" s="69"/>
    </row>
    <row r="28" spans="1:23" ht="15" customHeight="1" x14ac:dyDescent="0.25">
      <c r="A28" s="20"/>
      <c r="B28" s="27"/>
      <c r="C28" s="71" t="str">
        <f>IF(Nabídka!C28&lt;&gt;"",Nabídka!C28,"")</f>
        <v>Zapojování datových zásuvek - Hotel WE, PVA Letňany</v>
      </c>
      <c r="D28" s="44" t="str">
        <f>IF(Nabídka!D28&lt;&gt;"",Nabídka!D28,"")</f>
        <v>hodina</v>
      </c>
      <c r="E28" s="44">
        <f>IF(Nabídka!E28&lt;&gt;"",Nabídka!E28,"")</f>
        <v>23</v>
      </c>
      <c r="F28" s="124">
        <f>IF(Nabídka!F28&lt;&gt;"",Nabídka!F28,"")</f>
        <v>625</v>
      </c>
      <c r="G28" s="124">
        <f>IF(AND((Nabídka!C28&lt;&gt;""),(Nabídka!D28&lt;&gt;""),(Nabídka!E28&lt;&gt;""),(Nabídka!F28&lt;&gt;"")),(Nabídka!E28*Nabídka!F28),"")</f>
        <v>14375</v>
      </c>
      <c r="H28" s="46"/>
      <c r="I28" s="20"/>
      <c r="M28" s="7"/>
      <c r="O28" s="214"/>
      <c r="P28" s="214"/>
      <c r="Q28" s="214"/>
      <c r="R28" s="214"/>
      <c r="S28" s="214"/>
      <c r="T28" s="214"/>
      <c r="W28" s="69"/>
    </row>
    <row r="29" spans="1:23" ht="15" customHeight="1" x14ac:dyDescent="0.25">
      <c r="A29" s="20"/>
      <c r="B29" s="27"/>
      <c r="C29" s="71" t="str">
        <f>IF(Nabídka!C29&lt;&gt;"",Nabídka!C29,"")</f>
        <v/>
      </c>
      <c r="D29" s="44" t="str">
        <f>IF(Nabídka!D29&lt;&gt;"",Nabídka!D29,"")</f>
        <v/>
      </c>
      <c r="E29" s="44" t="str">
        <f>IF(Nabídka!E29&lt;&gt;"",Nabídka!E29,"")</f>
        <v/>
      </c>
      <c r="F29" s="124" t="str">
        <f>IF(Nabídka!F29&lt;&gt;"",Nabídka!F29,"")</f>
        <v/>
      </c>
      <c r="G29" s="124" t="str">
        <f>IF(AND((Nabídka!C29&lt;&gt;""),(Nabídka!D29&lt;&gt;""),(Nabídka!E29&lt;&gt;""),(Nabídka!F29&lt;&gt;"")),(Nabídka!E29*Nabídka!F29),"")</f>
        <v/>
      </c>
      <c r="H29" s="46"/>
      <c r="I29" s="20"/>
      <c r="M29" s="7"/>
      <c r="O29" s="214"/>
      <c r="P29" s="214"/>
      <c r="Q29" s="214"/>
      <c r="R29" s="214"/>
      <c r="S29" s="214"/>
      <c r="T29" s="214"/>
      <c r="W29" s="69"/>
    </row>
    <row r="30" spans="1:23" ht="15" customHeight="1" x14ac:dyDescent="0.25">
      <c r="A30" s="20"/>
      <c r="B30" s="27"/>
      <c r="C30" s="71" t="str">
        <f>IF(Nabídka!C30&lt;&gt;"",Nabídka!C30,"")</f>
        <v/>
      </c>
      <c r="D30" s="44" t="str">
        <f>IF(Nabídka!D30&lt;&gt;"",Nabídka!D30,"")</f>
        <v/>
      </c>
      <c r="E30" s="44" t="str">
        <f>IF(Nabídka!E30&lt;&gt;"",Nabídka!E30,"")</f>
        <v/>
      </c>
      <c r="F30" s="124" t="str">
        <f>IF(Nabídka!F30&lt;&gt;"",Nabídka!F30,"")</f>
        <v/>
      </c>
      <c r="G30" s="124" t="str">
        <f>IF(AND((Nabídka!C30&lt;&gt;""),(Nabídka!D30&lt;&gt;""),(Nabídka!E30&lt;&gt;""),(Nabídka!F30&lt;&gt;"")),(Nabídka!E30*Nabídka!F30),"")</f>
        <v/>
      </c>
      <c r="H30" s="46"/>
      <c r="I30" s="20"/>
      <c r="M30" s="7"/>
      <c r="O30" s="214"/>
      <c r="P30" s="214"/>
      <c r="Q30" s="214"/>
      <c r="R30" s="214"/>
      <c r="S30" s="214"/>
      <c r="T30" s="214"/>
      <c r="W30" s="69"/>
    </row>
    <row r="31" spans="1:23" ht="15" customHeight="1" x14ac:dyDescent="0.25">
      <c r="A31" s="20"/>
      <c r="B31" s="27"/>
      <c r="C31" s="71" t="str">
        <f>IF(Nabídka!C31&lt;&gt;"",Nabídka!C31,"")</f>
        <v/>
      </c>
      <c r="D31" s="44" t="str">
        <f>IF(Nabídka!D31&lt;&gt;"",Nabídka!D31,"")</f>
        <v/>
      </c>
      <c r="E31" s="44" t="str">
        <f>IF(Nabídka!E31&lt;&gt;"",Nabídka!E31,"")</f>
        <v/>
      </c>
      <c r="F31" s="124" t="str">
        <f>IF(Nabídka!F31&lt;&gt;"",Nabídka!F31,"")</f>
        <v/>
      </c>
      <c r="G31" s="124" t="str">
        <f>IF(AND((Nabídka!C31&lt;&gt;""),(Nabídka!D31&lt;&gt;""),(Nabídka!E31&lt;&gt;""),(Nabídka!F31&lt;&gt;"")),(Nabídka!E31*Nabídka!F31),"")</f>
        <v/>
      </c>
      <c r="H31" s="46"/>
      <c r="I31" s="20"/>
      <c r="L31" s="76"/>
      <c r="M31" s="76"/>
      <c r="N31" s="76"/>
      <c r="O31" s="214"/>
      <c r="P31" s="214"/>
      <c r="Q31" s="214"/>
      <c r="R31" s="214"/>
      <c r="S31" s="214"/>
      <c r="T31" s="214"/>
      <c r="W31" s="69"/>
    </row>
    <row r="32" spans="1:23" ht="15" customHeight="1" x14ac:dyDescent="0.25">
      <c r="A32" s="20"/>
      <c r="B32" s="27"/>
      <c r="C32" s="71" t="str">
        <f>IF(Nabídka!C32&lt;&gt;"",Nabídka!C32,"")</f>
        <v/>
      </c>
      <c r="D32" s="44" t="str">
        <f>IF(Nabídka!D32&lt;&gt;"",Nabídka!D32,"")</f>
        <v/>
      </c>
      <c r="E32" s="44" t="str">
        <f>IF(Nabídka!E32&lt;&gt;"",Nabídka!E32,"")</f>
        <v/>
      </c>
      <c r="F32" s="124" t="str">
        <f>IF(Nabídka!F32&lt;&gt;"",Nabídka!F32,"")</f>
        <v/>
      </c>
      <c r="G32" s="124" t="str">
        <f>IF(AND((Nabídka!C32&lt;&gt;""),(Nabídka!D32&lt;&gt;""),(Nabídka!E32&lt;&gt;""),(Nabídka!F32&lt;&gt;"")),(Nabídka!E32*Nabídka!F32),"")</f>
        <v/>
      </c>
      <c r="H32" s="46"/>
      <c r="I32" s="20"/>
      <c r="L32" s="76"/>
      <c r="M32" s="76"/>
      <c r="N32" s="76"/>
      <c r="O32" s="214"/>
      <c r="P32" s="214"/>
      <c r="Q32" s="214"/>
      <c r="R32" s="214"/>
      <c r="S32" s="214"/>
      <c r="T32" s="214"/>
      <c r="W32" s="69"/>
    </row>
    <row r="33" spans="1:23" ht="15" customHeight="1" x14ac:dyDescent="0.25">
      <c r="A33" s="20"/>
      <c r="B33" s="27"/>
      <c r="C33" s="71" t="str">
        <f>IF(Nabídka!C33&lt;&gt;"",Nabídka!C33,"")</f>
        <v/>
      </c>
      <c r="D33" s="44" t="str">
        <f>IF(Nabídka!D33&lt;&gt;"",Nabídka!D33,"")</f>
        <v/>
      </c>
      <c r="E33" s="44" t="str">
        <f>IF(Nabídka!E33&lt;&gt;"",Nabídka!E33,"")</f>
        <v/>
      </c>
      <c r="F33" s="124" t="str">
        <f>IF(Nabídka!F33&lt;&gt;"",Nabídka!F33,"")</f>
        <v/>
      </c>
      <c r="G33" s="124" t="str">
        <f>IF(AND((Nabídka!C33&lt;&gt;""),(Nabídka!D33&lt;&gt;""),(Nabídka!E33&lt;&gt;""),(Nabídka!F33&lt;&gt;"")),(Nabídka!E33*Nabídka!F33),"")</f>
        <v/>
      </c>
      <c r="H33" s="46"/>
      <c r="I33" s="20"/>
      <c r="L33" s="76"/>
      <c r="M33" s="76"/>
      <c r="N33" s="76"/>
      <c r="O33" s="214"/>
      <c r="P33" s="214"/>
      <c r="Q33" s="214"/>
      <c r="R33" s="214"/>
      <c r="S33" s="214"/>
      <c r="T33" s="214"/>
      <c r="W33" s="69"/>
    </row>
    <row r="34" spans="1:23" ht="15" customHeight="1" x14ac:dyDescent="0.25">
      <c r="A34" s="20"/>
      <c r="B34" s="27"/>
      <c r="C34" s="71" t="str">
        <f>IF(Nabídka!C34&lt;&gt;"",Nabídka!C34,"")</f>
        <v/>
      </c>
      <c r="D34" s="44" t="str">
        <f>IF(Nabídka!D34&lt;&gt;"",Nabídka!D34,"")</f>
        <v/>
      </c>
      <c r="E34" s="44" t="str">
        <f>IF(Nabídka!E34&lt;&gt;"",Nabídka!E34,"")</f>
        <v/>
      </c>
      <c r="F34" s="124" t="str">
        <f>IF(Nabídka!F34&lt;&gt;"",Nabídka!F34,"")</f>
        <v/>
      </c>
      <c r="G34" s="124" t="str">
        <f>IF(AND((Nabídka!C34&lt;&gt;""),(Nabídka!D34&lt;&gt;""),(Nabídka!E34&lt;&gt;""),(Nabídka!F34&lt;&gt;"")),(Nabídka!E34*Nabídka!F34),"")</f>
        <v/>
      </c>
      <c r="H34" s="46"/>
      <c r="I34" s="20"/>
      <c r="L34" s="76"/>
      <c r="M34" s="76"/>
      <c r="N34" s="76"/>
      <c r="O34" s="76"/>
      <c r="P34" s="76"/>
      <c r="Q34" s="76"/>
      <c r="R34" s="76"/>
      <c r="S34" s="76"/>
      <c r="T34" s="76"/>
      <c r="W34" s="69"/>
    </row>
    <row r="35" spans="1:23" ht="15" customHeight="1" x14ac:dyDescent="0.25">
      <c r="A35" s="20"/>
      <c r="B35" s="27"/>
      <c r="C35" s="71" t="str">
        <f>IF(Nabídka!C35&lt;&gt;"",Nabídka!C35,"")</f>
        <v/>
      </c>
      <c r="D35" s="44" t="str">
        <f>IF(Nabídka!D35&lt;&gt;"",Nabídka!D35,"")</f>
        <v/>
      </c>
      <c r="E35" s="44" t="str">
        <f>IF(Nabídka!E35&lt;&gt;"",Nabídka!E35,"")</f>
        <v/>
      </c>
      <c r="F35" s="124" t="str">
        <f>IF(Nabídka!F35&lt;&gt;"",Nabídka!F35,"")</f>
        <v/>
      </c>
      <c r="G35" s="124" t="str">
        <f>IF(AND((Nabídka!C35&lt;&gt;""),(Nabídka!D35&lt;&gt;""),(Nabídka!E35&lt;&gt;""),(Nabídka!F35&lt;&gt;"")),(Nabídka!E35*Nabídka!F35),"")</f>
        <v/>
      </c>
      <c r="H35" s="46"/>
      <c r="I35" s="20"/>
      <c r="L35" s="76"/>
      <c r="M35" s="76"/>
      <c r="N35" s="76"/>
      <c r="O35" s="76"/>
      <c r="P35" s="76"/>
      <c r="Q35" s="76"/>
      <c r="R35" s="76"/>
      <c r="S35" s="76"/>
      <c r="T35" s="76"/>
      <c r="W35" s="69"/>
    </row>
    <row r="36" spans="1:23" ht="15" customHeight="1" x14ac:dyDescent="0.25">
      <c r="A36" s="20"/>
      <c r="B36" s="27"/>
      <c r="C36" s="71" t="str">
        <f>IF(Nabídka!C36&lt;&gt;"",Nabídka!C36,"")</f>
        <v/>
      </c>
      <c r="D36" s="44" t="str">
        <f>IF(Nabídka!D36&lt;&gt;"",Nabídka!D36,"")</f>
        <v/>
      </c>
      <c r="E36" s="44" t="str">
        <f>IF(Nabídka!E36&lt;&gt;"",Nabídka!E36,"")</f>
        <v/>
      </c>
      <c r="F36" s="124" t="str">
        <f>IF(Nabídka!F36&lt;&gt;"",Nabídka!F36,"")</f>
        <v/>
      </c>
      <c r="G36" s="124" t="str">
        <f>IF(AND((Nabídka!C36&lt;&gt;""),(Nabídka!D36&lt;&gt;""),(Nabídka!E36&lt;&gt;""),(Nabídka!F36&lt;&gt;"")),(Nabídka!E36*Nabídka!F36),"")</f>
        <v/>
      </c>
      <c r="H36" s="46"/>
      <c r="I36" s="20"/>
      <c r="L36" s="76"/>
      <c r="M36" s="76"/>
      <c r="N36" s="76"/>
      <c r="O36" s="76"/>
      <c r="P36" s="76"/>
      <c r="Q36" s="76"/>
      <c r="R36" s="76"/>
      <c r="S36" s="76"/>
      <c r="T36" s="76"/>
      <c r="W36" s="69"/>
    </row>
    <row r="37" spans="1:23" ht="15" customHeight="1" x14ac:dyDescent="0.25">
      <c r="A37" s="20"/>
      <c r="B37" s="27"/>
      <c r="C37" s="71" t="str">
        <f>IF(Nabídka!C37&lt;&gt;"",Nabídka!C37,"")</f>
        <v/>
      </c>
      <c r="D37" s="44" t="str">
        <f>IF(Nabídka!D37&lt;&gt;"",Nabídka!D37,"")</f>
        <v/>
      </c>
      <c r="E37" s="44" t="str">
        <f>IF(Nabídka!E37&lt;&gt;"",Nabídka!E37,"")</f>
        <v/>
      </c>
      <c r="F37" s="124" t="str">
        <f>IF(Nabídka!F37&lt;&gt;"",Nabídka!F37,"")</f>
        <v/>
      </c>
      <c r="G37" s="124" t="str">
        <f>IF(AND((Nabídka!C37&lt;&gt;""),(Nabídka!D37&lt;&gt;""),(Nabídka!E37&lt;&gt;""),(Nabídka!F37&lt;&gt;"")),(Nabídka!E37*Nabídka!F37),"")</f>
        <v/>
      </c>
      <c r="H37" s="46"/>
      <c r="I37" s="20"/>
      <c r="L37" s="76"/>
      <c r="M37" s="76"/>
      <c r="N37" s="76"/>
      <c r="O37" s="76"/>
      <c r="P37" s="76"/>
      <c r="Q37" s="76"/>
      <c r="R37" s="76"/>
      <c r="S37" s="76"/>
      <c r="T37" s="76"/>
      <c r="W37" s="69"/>
    </row>
    <row r="38" spans="1:23" ht="15" customHeight="1" x14ac:dyDescent="0.25">
      <c r="A38" s="20"/>
      <c r="B38" s="27"/>
      <c r="C38" s="71" t="str">
        <f>IF(Nabídka!C38&lt;&gt;"",Nabídka!C38,"")</f>
        <v/>
      </c>
      <c r="D38" s="44" t="str">
        <f>IF(Nabídka!D38&lt;&gt;"",Nabídka!D38,"")</f>
        <v/>
      </c>
      <c r="E38" s="44" t="str">
        <f>IF(Nabídka!E38&lt;&gt;"",Nabídka!E38,"")</f>
        <v/>
      </c>
      <c r="F38" s="124" t="str">
        <f>IF(Nabídka!F38&lt;&gt;"",Nabídka!F38,"")</f>
        <v/>
      </c>
      <c r="G38" s="124" t="str">
        <f>IF(AND((Nabídka!C38&lt;&gt;""),(Nabídka!D38&lt;&gt;""),(Nabídka!E38&lt;&gt;""),(Nabídka!F38&lt;&gt;"")),(Nabídka!E38*Nabídka!F38),"")</f>
        <v/>
      </c>
      <c r="H38" s="46"/>
      <c r="I38" s="20"/>
      <c r="L38" s="76"/>
      <c r="M38" s="76"/>
      <c r="N38" s="76"/>
      <c r="O38" s="76"/>
      <c r="P38" s="76"/>
      <c r="Q38" s="76"/>
      <c r="R38" s="76"/>
      <c r="S38" s="76"/>
      <c r="T38" s="76"/>
      <c r="W38" s="69"/>
    </row>
    <row r="39" spans="1:23" ht="15" customHeight="1" x14ac:dyDescent="0.25">
      <c r="A39" s="20"/>
      <c r="B39" s="27"/>
      <c r="C39" s="71" t="str">
        <f>IF(Nabídka!C39&lt;&gt;"",Nabídka!C39,"")</f>
        <v/>
      </c>
      <c r="D39" s="44" t="str">
        <f>IF(Nabídka!D39&lt;&gt;"",Nabídka!D39,"")</f>
        <v/>
      </c>
      <c r="E39" s="44" t="str">
        <f>IF(Nabídka!E39&lt;&gt;"",Nabídka!E39,"")</f>
        <v/>
      </c>
      <c r="F39" s="124" t="str">
        <f>IF(Nabídka!F39&lt;&gt;"",Nabídka!F39,"")</f>
        <v/>
      </c>
      <c r="G39" s="124" t="str">
        <f>IF(AND((Nabídka!C39&lt;&gt;""),(Nabídka!D39&lt;&gt;""),(Nabídka!E39&lt;&gt;""),(Nabídka!F39&lt;&gt;"")),(Nabídka!E39*Nabídka!F39),"")</f>
        <v/>
      </c>
      <c r="H39" s="46"/>
      <c r="I39" s="20"/>
      <c r="K39" s="1" t="str" cm="1">
        <f t="array" aca="1" ref="K39" ca="1">_xlfn.LET(_xlpm.sel,$B$2,
  IF(_xlpm.sel="Nabídka",
     IFERROR(
       _xlfn.LET(_xlpm.r,INDIRECT("'Nabídka'!F57:F58"),
           _xlfn.XLOOKUP(1,(ISNUMBER(SEARCH("Záloha",_xlpm.r)))*(ISNUMBER(SEARCH("%",_xlpm.r))),
                   INDIRECT("'Nabídka'!G57:G58"),"")
       ),
     ""),
  IF(_xlpm.sel="Zálohová Faktura",
     IFERROR(
       _xlfn.LET(
         _xlpm.r,INDIRECT("'Zálohová Faktura'!A1:Z200"),
         _xlpm.m,(ISNUMBER(SEARCH("Celkem s DPH",_xlpm.r)))*(ISNUMBER(SEARCH(" Kč)",_xlpm.r))),
         _xlpm.s,MMULT(--_xlpm.m,TRANSPOSE(COLUMN(_xlpm.r)*0+1)),
         _xlpm.ri,MATCH(TRUE,_xlpm.s&gt;0,0),
         _xlpm.ci,MATCH(TRUE,INDEX(_xlpm.m,_xlpm.ri,0),0),
         INDEX(_xlpm.r,_xlpm.ri,_xlpm.ci+1)
       ),
     ""),
  ""))
)</f>
        <v/>
      </c>
      <c r="M39" s="7"/>
      <c r="W39" s="69"/>
    </row>
    <row r="40" spans="1:23" ht="15" customHeight="1" x14ac:dyDescent="0.25">
      <c r="A40" s="20"/>
      <c r="B40" s="27"/>
      <c r="C40" s="71" t="str">
        <f>IF(Nabídka!C40&lt;&gt;"",Nabídka!C40,"")</f>
        <v/>
      </c>
      <c r="D40" s="44" t="str">
        <f>IF(Nabídka!D40&lt;&gt;"",Nabídka!D40,"")</f>
        <v/>
      </c>
      <c r="E40" s="44" t="str">
        <f>IF(Nabídka!E40&lt;&gt;"",Nabídka!E40,"")</f>
        <v/>
      </c>
      <c r="F40" s="124" t="str">
        <f>IF(Nabídka!F40&lt;&gt;"",Nabídka!F40,"")</f>
        <v/>
      </c>
      <c r="G40" s="124" t="str">
        <f>IF(AND((Nabídka!C40&lt;&gt;""),(Nabídka!D40&lt;&gt;""),(Nabídka!E40&lt;&gt;""),(Nabídka!F40&lt;&gt;"")),(Nabídka!E40*Nabídka!F40),"")</f>
        <v/>
      </c>
      <c r="H40" s="46"/>
      <c r="I40" s="20"/>
      <c r="L40" s="17"/>
      <c r="W40" s="69"/>
    </row>
    <row r="41" spans="1:23" ht="15" customHeight="1" x14ac:dyDescent="0.25">
      <c r="A41" s="20"/>
      <c r="B41" s="27"/>
      <c r="C41" s="71" t="str">
        <f>IF(Nabídka!C41&lt;&gt;"",Nabídka!C41,"")</f>
        <v/>
      </c>
      <c r="D41" s="44" t="str">
        <f>IF(Nabídka!D41&lt;&gt;"",Nabídka!D41,"")</f>
        <v/>
      </c>
      <c r="E41" s="44" t="str">
        <f>IF(Nabídka!E41&lt;&gt;"",Nabídka!E41,"")</f>
        <v/>
      </c>
      <c r="F41" s="124" t="str">
        <f>IF(Nabídka!F41&lt;&gt;"",Nabídka!F41,"")</f>
        <v/>
      </c>
      <c r="G41" s="124" t="str">
        <f>IF(AND((Nabídka!C41&lt;&gt;""),(Nabídka!D41&lt;&gt;""),(Nabídka!E41&lt;&gt;""),(Nabídka!F41&lt;&gt;"")),(Nabídka!E41*Nabídka!F41),"")</f>
        <v/>
      </c>
      <c r="H41" s="46"/>
      <c r="I41" s="20"/>
      <c r="W41" s="69"/>
    </row>
    <row r="42" spans="1:23" ht="15" customHeight="1" x14ac:dyDescent="0.25">
      <c r="A42" s="20"/>
      <c r="B42" s="27"/>
      <c r="C42" s="71" t="str">
        <f>IF(Nabídka!C42&lt;&gt;"",Nabídka!C42,"")</f>
        <v/>
      </c>
      <c r="D42" s="44" t="str">
        <f>IF(Nabídka!D42&lt;&gt;"",Nabídka!D42,"")</f>
        <v/>
      </c>
      <c r="E42" s="44" t="str">
        <f>IF(Nabídka!E42&lt;&gt;"",Nabídka!E42,"")</f>
        <v/>
      </c>
      <c r="F42" s="124" t="str">
        <f>IF(Nabídka!F42&lt;&gt;"",Nabídka!F42,"")</f>
        <v/>
      </c>
      <c r="G42" s="124" t="str">
        <f>IF(AND((Nabídka!C42&lt;&gt;""),(Nabídka!D42&lt;&gt;""),(Nabídka!E42&lt;&gt;""),(Nabídka!F42&lt;&gt;"")),(Nabídka!E42*Nabídka!F42),"")</f>
        <v/>
      </c>
      <c r="H42" s="47"/>
      <c r="I42" s="20"/>
      <c r="W42" s="69"/>
    </row>
    <row r="43" spans="1:23" ht="15" customHeight="1" thickBot="1" x14ac:dyDescent="0.3">
      <c r="A43" s="20"/>
      <c r="B43" s="27"/>
      <c r="C43" s="20"/>
      <c r="D43" s="20"/>
      <c r="E43" s="215" t="s">
        <v>11</v>
      </c>
      <c r="F43" s="216"/>
      <c r="G43" s="125">
        <f>SUM(Nabídka!G20:'Nabídka'!G42)</f>
        <v>120000</v>
      </c>
      <c r="H43" s="46"/>
      <c r="I43" s="20"/>
      <c r="L43" s="10"/>
      <c r="W43" s="69"/>
    </row>
    <row r="44" spans="1:23" ht="15" customHeight="1" x14ac:dyDescent="0.25">
      <c r="A44" s="20"/>
      <c r="B44" s="27"/>
      <c r="C44" s="20"/>
      <c r="D44" s="20"/>
      <c r="E44" s="48"/>
      <c r="F44" s="48"/>
      <c r="G44" s="49"/>
      <c r="H44" s="46"/>
      <c r="I44" s="20"/>
      <c r="M44" s="7"/>
      <c r="W44" s="69"/>
    </row>
    <row r="45" spans="1:23" ht="15" customHeight="1" x14ac:dyDescent="0.25">
      <c r="A45" s="20"/>
      <c r="B45" s="27"/>
      <c r="C45" s="20"/>
      <c r="D45" s="20"/>
      <c r="E45" s="43"/>
      <c r="F45" s="50"/>
      <c r="G45" s="50"/>
      <c r="H45" s="46"/>
      <c r="I45" s="20"/>
      <c r="M45" s="7"/>
      <c r="W45" s="69"/>
    </row>
    <row r="46" spans="1:23" ht="15" customHeight="1" x14ac:dyDescent="0.25">
      <c r="A46" s="20"/>
      <c r="B46" s="27"/>
      <c r="C46" s="20" t="s">
        <v>12</v>
      </c>
      <c r="D46" s="44" t="s">
        <v>7</v>
      </c>
      <c r="E46" s="38" t="s">
        <v>8</v>
      </c>
      <c r="F46" s="45" t="s">
        <v>10</v>
      </c>
      <c r="G46" s="45" t="s">
        <v>9</v>
      </c>
      <c r="H46" s="46"/>
      <c r="I46" s="20"/>
      <c r="L46" s="11"/>
      <c r="M46" s="7"/>
      <c r="W46" s="69"/>
    </row>
    <row r="47" spans="1:23" ht="15" customHeight="1" x14ac:dyDescent="0.25">
      <c r="A47" s="20"/>
      <c r="B47" s="27"/>
      <c r="C47" s="20" t="str">
        <f>IF(Nabídka!C47&lt;&gt;"",Nabídka!C47,"")</f>
        <v>Spojovací materiál pro montáž datových zásuvek - OBI - 20250814</v>
      </c>
      <c r="D47" s="44" t="str">
        <f>IF(Nabídka!D47&lt;&gt;"",Nabídka!D47,"")</f>
        <v>Faktura</v>
      </c>
      <c r="E47" s="44">
        <f>IF(Nabídka!E47&lt;&gt;"",Nabídka!E47,"")</f>
        <v>1</v>
      </c>
      <c r="F47" s="124">
        <f>IF(Nabídka!F47&lt;&gt;"",Nabídka!F47,"")</f>
        <v>508</v>
      </c>
      <c r="G47" s="124">
        <f>IF(AND((Nabídka!C47&lt;&gt;""),(Nabídka!D47&lt;&gt;""),(Nabídka!E47&lt;&gt;""),(Nabídka!F47&lt;&gt;"")),(Nabídka!E47*Nabídka!F47),"")</f>
        <v>508</v>
      </c>
      <c r="H47" s="46"/>
      <c r="I47" s="20"/>
      <c r="L47" s="10"/>
      <c r="M47" s="7"/>
      <c r="W47" s="69"/>
    </row>
    <row r="48" spans="1:23" ht="15" customHeight="1" x14ac:dyDescent="0.25">
      <c r="A48" s="20"/>
      <c r="B48" s="27"/>
      <c r="C48" s="20" t="str">
        <f>IF(Nabídka!C48&lt;&gt;"",Nabídka!C48,"")</f>
        <v>Spojovací materiál - vruty do dřevotřísky - OBI - 20250815</v>
      </c>
      <c r="D48" s="44" t="str">
        <f>IF(Nabídka!D48&lt;&gt;"",Nabídka!D48,"")</f>
        <v>Faktura</v>
      </c>
      <c r="E48" s="44">
        <f>IF(Nabídka!E48&lt;&gt;"",Nabídka!E48,"")</f>
        <v>1</v>
      </c>
      <c r="F48" s="124">
        <f>IF(Nabídka!F48&lt;&gt;"",Nabídka!F48,"")</f>
        <v>29.88</v>
      </c>
      <c r="G48" s="124">
        <f>IF(AND((Nabídka!C48&lt;&gt;""),(Nabídka!D48&lt;&gt;""),(Nabídka!E48&lt;&gt;""),(Nabídka!F48&lt;&gt;"")),(Nabídka!E48*Nabídka!F48),"")</f>
        <v>29.88</v>
      </c>
      <c r="H48" s="46"/>
      <c r="I48" s="20"/>
      <c r="W48" s="69"/>
    </row>
    <row r="49" spans="1:81" ht="15" customHeight="1" x14ac:dyDescent="0.25">
      <c r="A49" s="20"/>
      <c r="B49" s="27"/>
      <c r="C49" s="20" t="str">
        <f>IF(Nabídka!C49&lt;&gt;"",Nabídka!C49,"")</f>
        <v/>
      </c>
      <c r="D49" s="44" t="str">
        <f>IF(Nabídka!D49&lt;&gt;"",Nabídka!D49,"")</f>
        <v/>
      </c>
      <c r="E49" s="44" t="str">
        <f>IF(Nabídka!E49&lt;&gt;"",Nabídka!E49,"")</f>
        <v/>
      </c>
      <c r="F49" s="124" t="str">
        <f>IF(Nabídka!F49&lt;&gt;"",Nabídka!F49,"")</f>
        <v/>
      </c>
      <c r="G49" s="124" t="str">
        <f>IF(AND((Nabídka!C49&lt;&gt;""),(Nabídka!D49&lt;&gt;""),(Nabídka!E49&lt;&gt;""),(Nabídka!F49&lt;&gt;"")),(Nabídka!E49*Nabídka!F49),"")</f>
        <v/>
      </c>
      <c r="H49" s="46"/>
      <c r="I49" s="20"/>
      <c r="W49" s="69"/>
    </row>
    <row r="50" spans="1:81" ht="15" customHeight="1" x14ac:dyDescent="0.25">
      <c r="A50" s="20"/>
      <c r="B50" s="27"/>
      <c r="C50" s="20" t="str">
        <f>IF(Nabídka!C50&lt;&gt;"",Nabídka!C50,"")</f>
        <v/>
      </c>
      <c r="D50" s="44" t="str">
        <f>IF(Nabídka!D50&lt;&gt;"",Nabídka!D50,"")</f>
        <v/>
      </c>
      <c r="E50" s="44" t="str">
        <f>IF(Nabídka!E50&lt;&gt;"",Nabídka!E50,"")</f>
        <v/>
      </c>
      <c r="F50" s="124" t="str">
        <f>IF(Nabídka!F50&lt;&gt;"",Nabídka!F50,"")</f>
        <v/>
      </c>
      <c r="G50" s="124" t="str">
        <f>IF(AND((Nabídka!C50&lt;&gt;""),(Nabídka!D50&lt;&gt;""),(Nabídka!E50&lt;&gt;""),(Nabídka!F50&lt;&gt;"")),(Nabídka!E50*Nabídka!F50),"")</f>
        <v/>
      </c>
      <c r="H50" s="46"/>
      <c r="I50" s="20"/>
      <c r="L50" s="17"/>
      <c r="W50" s="69"/>
    </row>
    <row r="51" spans="1:81" ht="15" customHeight="1" x14ac:dyDescent="0.25">
      <c r="A51" s="20"/>
      <c r="B51" s="27"/>
      <c r="C51" s="20" t="str">
        <f>IF(Nabídka!C51&lt;&gt;"",Nabídka!C51,"")</f>
        <v/>
      </c>
      <c r="D51" s="44" t="str">
        <f>IF(Nabídka!D51&lt;&gt;"",Nabídka!D51,"")</f>
        <v/>
      </c>
      <c r="E51" s="44" t="str">
        <f>IF(Nabídka!E51&lt;&gt;"",Nabídka!E51,"")</f>
        <v/>
      </c>
      <c r="F51" s="124" t="str">
        <f>IF(Nabídka!F51&lt;&gt;"",Nabídka!F51,"")</f>
        <v/>
      </c>
      <c r="G51" s="124" t="str">
        <f>IF(AND((Nabídka!C51&lt;&gt;""),(Nabídka!D51&lt;&gt;""),(Nabídka!E51&lt;&gt;""),(Nabídka!F51&lt;&gt;"")),(Nabídka!E51*Nabídka!F51),"")</f>
        <v/>
      </c>
      <c r="H51" s="46"/>
      <c r="I51" s="20"/>
    </row>
    <row r="52" spans="1:81" ht="15" customHeight="1" x14ac:dyDescent="0.25">
      <c r="A52" s="20"/>
      <c r="B52" s="27"/>
      <c r="C52" s="20" t="str">
        <f>IF(Nabídka!C52&lt;&gt;"",Nabídka!C52,"")</f>
        <v/>
      </c>
      <c r="D52" s="44" t="str">
        <f>IF(Nabídka!D52&lt;&gt;"",Nabídka!D52,"")</f>
        <v/>
      </c>
      <c r="E52" s="44" t="str">
        <f>IF(Nabídka!E52&lt;&gt;"",Nabídka!E52,"")</f>
        <v/>
      </c>
      <c r="F52" s="124" t="str">
        <f>IF(Nabídka!F52&lt;&gt;"",Nabídka!F52,"")</f>
        <v/>
      </c>
      <c r="G52" s="124" t="str">
        <f>IF(AND((Nabídka!C52&lt;&gt;""),(Nabídka!D52&lt;&gt;""),(Nabídka!E52&lt;&gt;""),(Nabídka!F52&lt;&gt;"")),(Nabídka!E52*Nabídka!F52),"")</f>
        <v/>
      </c>
      <c r="H52" s="47"/>
      <c r="I52" s="20"/>
    </row>
    <row r="53" spans="1:81" ht="15" customHeight="1" thickBot="1" x14ac:dyDescent="0.3">
      <c r="A53" s="20"/>
      <c r="B53" s="27"/>
      <c r="C53" s="20"/>
      <c r="D53" s="20"/>
      <c r="E53" s="162" t="s">
        <v>25</v>
      </c>
      <c r="F53" s="163"/>
      <c r="G53" s="126">
        <f>SUM(Nabídka!G47:'Nabídka'!G52)</f>
        <v>537.88</v>
      </c>
      <c r="H53" s="47"/>
      <c r="I53" s="20"/>
      <c r="M53" s="1" t="str" cm="1">
        <f t="array" aca="1" ref="M53" ca="1">IFERROR(
  _xlfn.LET(
    _xlpm.r,INDIRECT("'Zálohová Faktura'!F57:F58"),
    _xlpm.m,(ISNUMBER(SEARCH("Celkem s DPH",_xlpm.r)))*(ISNUMBER(SEARCH(" Kč)",_xlpm.r))),
    _xlpm.s,MMULT(--_xlpm.m,TRANSPOSE(COLUMN(_xlpm.r)*0+1)),
    _xlpm.ri,MATCH(TRUE,_xlpm.s&gt;0,0),
    _xlpm.ci,MATCH(TRUE,INDEX(_xlpm.m,_xlpm.ri,0),0),
    INDEX(_xlpm.r,_xlpm.ri,_xlpm.ci+1)
  ),
"")</f>
        <v/>
      </c>
    </row>
    <row r="54" spans="1:81" ht="15" customHeight="1" x14ac:dyDescent="0.25">
      <c r="A54" s="20"/>
      <c r="B54" s="27"/>
      <c r="C54" s="20"/>
      <c r="D54" s="37"/>
      <c r="E54" s="43"/>
      <c r="F54" s="51"/>
      <c r="G54" s="52"/>
      <c r="H54" s="47"/>
      <c r="I54" s="20"/>
      <c r="L54" s="74"/>
      <c r="M54" s="10"/>
    </row>
    <row r="55" spans="1:81" ht="15" customHeight="1" x14ac:dyDescent="0.25">
      <c r="A55" s="20"/>
      <c r="B55" s="27"/>
      <c r="C55" s="20"/>
      <c r="D55" s="20"/>
      <c r="E55" s="20"/>
      <c r="F55" s="20"/>
      <c r="G55" s="20"/>
      <c r="H55" s="47"/>
      <c r="I55" s="20"/>
      <c r="L55" s="74"/>
      <c r="M55" s="10"/>
    </row>
    <row r="56" spans="1:81" ht="15" customHeight="1" thickBot="1" x14ac:dyDescent="0.3">
      <c r="A56" s="20"/>
      <c r="B56" s="27"/>
      <c r="C56" s="37"/>
      <c r="D56" s="20"/>
      <c r="E56" s="23"/>
      <c r="F56" s="67"/>
      <c r="G56" s="72"/>
      <c r="H56" s="47"/>
      <c r="I56" s="20"/>
      <c r="J56" s="13"/>
      <c r="K56" s="13"/>
      <c r="L56" s="13"/>
      <c r="M56" s="13"/>
      <c r="N56" s="13"/>
      <c r="O56" s="13"/>
      <c r="P56" s="13"/>
      <c r="Q56" s="13"/>
      <c r="R56" s="13"/>
      <c r="S56" s="13"/>
    </row>
    <row r="57" spans="1:81" ht="15" customHeight="1" thickTop="1" x14ac:dyDescent="0.25">
      <c r="A57" s="20"/>
      <c r="B57" s="27"/>
      <c r="C57" s="20"/>
      <c r="D57" s="20"/>
      <c r="E57" s="77"/>
      <c r="F57" s="138" t="s">
        <v>14</v>
      </c>
      <c r="G57" s="127">
        <f>Nabídka!G56</f>
        <v>120537.88</v>
      </c>
      <c r="H57" s="47"/>
      <c r="I57" s="20"/>
      <c r="J57" s="13"/>
      <c r="K57" s="13"/>
      <c r="L57" s="62"/>
      <c r="M57" s="62"/>
      <c r="N57" s="62"/>
      <c r="O57" s="62"/>
      <c r="P57" s="62"/>
      <c r="Q57" s="62"/>
      <c r="R57" s="62"/>
      <c r="S57" s="62"/>
    </row>
    <row r="58" spans="1:81" ht="15" customHeight="1" thickBot="1" x14ac:dyDescent="0.3">
      <c r="A58" s="20"/>
      <c r="B58" s="27"/>
      <c r="C58" s="20"/>
      <c r="D58" s="20"/>
      <c r="E58" s="78"/>
      <c r="F58" s="139" t="str">
        <f>Nabídka!F57</f>
        <v>Celkem s DPH 0% ( Kč):</v>
      </c>
      <c r="G58" s="129">
        <f>Nabídka!G57</f>
        <v>120537.88</v>
      </c>
      <c r="H58" s="79"/>
      <c r="I58" s="80"/>
      <c r="J58" s="81"/>
      <c r="K58" s="81"/>
      <c r="L58" s="62"/>
      <c r="M58" s="62"/>
      <c r="N58" s="62"/>
      <c r="O58" s="62"/>
      <c r="P58" s="62"/>
      <c r="Q58" s="62"/>
      <c r="R58" s="62"/>
      <c r="S58" s="6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</row>
    <row r="59" spans="1:81" ht="15" customHeight="1" thickTop="1" x14ac:dyDescent="0.25">
      <c r="A59" s="20"/>
      <c r="B59" s="27"/>
      <c r="C59" s="20"/>
      <c r="D59" s="20"/>
      <c r="E59" s="23"/>
      <c r="F59" s="67"/>
      <c r="G59" s="68" t="s">
        <v>36</v>
      </c>
      <c r="H59" s="79"/>
      <c r="I59" s="80"/>
      <c r="J59" s="81"/>
      <c r="K59" s="81"/>
      <c r="L59" s="62"/>
      <c r="M59" s="62"/>
      <c r="N59" s="62"/>
      <c r="O59" s="62"/>
      <c r="P59" s="62"/>
      <c r="Q59" s="62"/>
      <c r="R59" s="62"/>
      <c r="S59" s="6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2"/>
      <c r="AW59" s="82"/>
      <c r="AX59" s="82"/>
      <c r="AY59" s="82"/>
      <c r="AZ59" s="82"/>
      <c r="BA59" s="82"/>
      <c r="BB59" s="82"/>
      <c r="BC59" s="82"/>
      <c r="BD59" s="82"/>
      <c r="BE59" s="82"/>
      <c r="BF59" s="82"/>
      <c r="BG59" s="82"/>
      <c r="BH59" s="82"/>
      <c r="BI59" s="82"/>
      <c r="BJ59" s="82"/>
      <c r="BK59" s="82"/>
      <c r="BL59" s="82"/>
      <c r="BM59" s="82"/>
      <c r="BN59" s="82"/>
      <c r="BO59" s="82"/>
      <c r="BP59" s="82"/>
      <c r="BQ59" s="82"/>
      <c r="BR59" s="82"/>
      <c r="BS59" s="82"/>
      <c r="BT59" s="82"/>
      <c r="BU59" s="82"/>
      <c r="BV59" s="82"/>
      <c r="BW59" s="82"/>
      <c r="BX59" s="82"/>
      <c r="BY59" s="82"/>
      <c r="BZ59" s="82"/>
      <c r="CA59" s="82"/>
      <c r="CB59" s="82"/>
      <c r="CC59" s="82"/>
    </row>
    <row r="60" spans="1:81" ht="15" customHeight="1" x14ac:dyDescent="0.25">
      <c r="A60" s="20"/>
      <c r="B60" s="27"/>
      <c r="C60" s="20"/>
      <c r="D60" s="20"/>
      <c r="E60" s="43"/>
      <c r="F60" s="50"/>
      <c r="G60" s="20"/>
      <c r="H60" s="79"/>
      <c r="I60" s="80"/>
      <c r="J60" s="81"/>
      <c r="K60" s="81"/>
      <c r="L60" s="62"/>
      <c r="M60" s="62"/>
      <c r="N60" s="62"/>
      <c r="O60" s="62"/>
      <c r="P60" s="62"/>
      <c r="Q60" s="62"/>
      <c r="R60" s="62"/>
      <c r="S60" s="6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</row>
    <row r="61" spans="1:81" ht="15" customHeight="1" x14ac:dyDescent="0.25">
      <c r="A61" s="20"/>
      <c r="B61" s="27"/>
      <c r="C61" s="80"/>
      <c r="D61" s="83"/>
      <c r="E61" s="80"/>
      <c r="F61" s="80"/>
      <c r="G61" s="80"/>
      <c r="H61" s="79"/>
      <c r="I61" s="80"/>
      <c r="J61" s="81"/>
      <c r="K61" s="81"/>
      <c r="L61" s="62"/>
      <c r="M61" s="62"/>
      <c r="N61" s="62"/>
      <c r="O61" s="62"/>
      <c r="P61" s="62"/>
      <c r="Q61" s="62"/>
      <c r="R61" s="62"/>
      <c r="S61" s="6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2"/>
      <c r="BS61" s="82"/>
      <c r="BT61" s="82"/>
      <c r="BU61" s="82"/>
      <c r="BV61" s="82"/>
      <c r="BW61" s="82"/>
      <c r="BX61" s="82"/>
      <c r="BY61" s="82"/>
      <c r="BZ61" s="82"/>
      <c r="CA61" s="82"/>
      <c r="CB61" s="82"/>
      <c r="CC61" s="82"/>
    </row>
    <row r="62" spans="1:81" ht="15" customHeight="1" x14ac:dyDescent="0.25">
      <c r="A62" s="20"/>
      <c r="B62" s="27"/>
      <c r="C62" s="80"/>
      <c r="D62" s="80"/>
      <c r="E62" s="80"/>
      <c r="F62" s="80"/>
      <c r="G62" s="159"/>
      <c r="H62" s="79"/>
      <c r="I62" s="80"/>
      <c r="J62" s="81"/>
      <c r="K62" s="81"/>
      <c r="L62" s="62"/>
      <c r="M62" s="62"/>
      <c r="N62" s="62"/>
      <c r="O62" s="62"/>
      <c r="P62" s="62"/>
      <c r="Q62" s="62"/>
      <c r="R62" s="62"/>
      <c r="S62" s="6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  <c r="BD62" s="82"/>
      <c r="BE62" s="82"/>
      <c r="BF62" s="82"/>
      <c r="BG62" s="82"/>
      <c r="BH62" s="82"/>
      <c r="BI62" s="82"/>
      <c r="BJ62" s="82"/>
      <c r="BK62" s="82"/>
      <c r="BL62" s="82"/>
      <c r="BM62" s="82"/>
      <c r="BN62" s="82"/>
      <c r="BO62" s="82"/>
      <c r="BP62" s="82"/>
      <c r="BQ62" s="82"/>
      <c r="BR62" s="82"/>
      <c r="BS62" s="82"/>
      <c r="BT62" s="82"/>
      <c r="BU62" s="82"/>
      <c r="BV62" s="82"/>
      <c r="BW62" s="82"/>
      <c r="BX62" s="82"/>
      <c r="BY62" s="82"/>
      <c r="BZ62" s="82"/>
      <c r="CA62" s="82"/>
      <c r="CB62" s="82"/>
      <c r="CC62" s="82"/>
    </row>
    <row r="63" spans="1:81" ht="15" customHeight="1" x14ac:dyDescent="0.25">
      <c r="A63" s="20"/>
      <c r="B63" s="27"/>
      <c r="C63" s="103"/>
      <c r="D63" s="80"/>
      <c r="E63" s="80"/>
      <c r="F63" s="80"/>
      <c r="G63" s="80"/>
      <c r="H63" s="79"/>
      <c r="I63" s="80"/>
      <c r="J63" s="81"/>
      <c r="K63" s="81"/>
      <c r="L63" s="62"/>
      <c r="M63" s="62"/>
      <c r="N63" s="62"/>
      <c r="O63" s="62"/>
      <c r="P63" s="62"/>
      <c r="Q63" s="62"/>
      <c r="R63" s="62"/>
      <c r="S63" s="62"/>
      <c r="T63" s="82"/>
      <c r="U63" s="82"/>
      <c r="V63" s="82"/>
      <c r="W63" s="82"/>
      <c r="X63" s="82"/>
      <c r="Y63" s="82"/>
      <c r="Z63" s="82"/>
      <c r="AA63" s="82"/>
      <c r="AB63" s="82"/>
      <c r="AC63" s="82"/>
      <c r="AD63" s="82"/>
      <c r="AE63" s="82"/>
      <c r="AF63" s="82"/>
      <c r="AG63" s="82"/>
      <c r="AH63" s="82"/>
      <c r="AI63" s="82"/>
      <c r="AJ63" s="82"/>
      <c r="AK63" s="82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  <c r="BD63" s="82"/>
      <c r="BE63" s="82"/>
      <c r="BF63" s="82"/>
      <c r="BG63" s="82"/>
      <c r="BH63" s="82"/>
      <c r="BI63" s="82"/>
      <c r="BJ63" s="82"/>
      <c r="BK63" s="82"/>
      <c r="BL63" s="82"/>
      <c r="BM63" s="82"/>
      <c r="BN63" s="82"/>
      <c r="BO63" s="82"/>
      <c r="BP63" s="82"/>
      <c r="BQ63" s="82"/>
      <c r="BR63" s="82"/>
      <c r="BS63" s="82"/>
      <c r="BT63" s="82"/>
      <c r="BU63" s="82"/>
      <c r="BV63" s="82"/>
      <c r="BW63" s="82"/>
      <c r="BX63" s="82"/>
      <c r="BY63" s="82"/>
      <c r="BZ63" s="82"/>
      <c r="CA63" s="82"/>
      <c r="CB63" s="82"/>
      <c r="CC63" s="82"/>
    </row>
    <row r="64" spans="1:81" ht="15" customHeight="1" x14ac:dyDescent="0.25">
      <c r="A64" s="20"/>
      <c r="B64" s="27"/>
      <c r="C64" s="103"/>
      <c r="D64" s="80"/>
      <c r="E64" s="80"/>
      <c r="F64" s="80"/>
      <c r="G64" s="80"/>
      <c r="H64" s="79"/>
      <c r="I64" s="80"/>
      <c r="J64" s="81"/>
      <c r="K64" s="81"/>
      <c r="L64" s="62"/>
      <c r="M64" s="62"/>
      <c r="N64" s="62"/>
      <c r="O64" s="62"/>
      <c r="P64" s="62"/>
      <c r="Q64" s="62"/>
      <c r="R64" s="62"/>
      <c r="S64" s="6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</row>
    <row r="65" spans="1:81" ht="15" customHeight="1" x14ac:dyDescent="0.25">
      <c r="A65" s="20"/>
      <c r="B65" s="27"/>
      <c r="C65" s="80"/>
      <c r="D65" s="80"/>
      <c r="E65" s="80"/>
      <c r="F65" s="80"/>
      <c r="G65" s="80"/>
      <c r="H65" s="79"/>
      <c r="I65" s="80"/>
      <c r="J65" s="81"/>
      <c r="K65" s="81"/>
      <c r="L65" s="62"/>
      <c r="M65" s="62"/>
      <c r="N65" s="62"/>
      <c r="O65" s="62"/>
      <c r="P65" s="62"/>
      <c r="Q65" s="62"/>
      <c r="R65" s="62"/>
      <c r="S65" s="6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</row>
    <row r="66" spans="1:81" ht="15" customHeight="1" x14ac:dyDescent="0.25">
      <c r="A66" s="20"/>
      <c r="B66" s="27"/>
      <c r="C66" s="80"/>
      <c r="D66" s="80"/>
      <c r="E66" s="80"/>
      <c r="F66" s="80"/>
      <c r="G66" s="80"/>
      <c r="H66" s="47"/>
      <c r="I66" s="20"/>
      <c r="J66" s="13"/>
      <c r="K66" s="13"/>
      <c r="L66" s="62"/>
      <c r="M66" s="62"/>
      <c r="N66" s="62"/>
      <c r="O66" s="62"/>
      <c r="P66" s="62"/>
      <c r="Q66" s="62"/>
      <c r="R66" s="62"/>
      <c r="S66" s="62"/>
    </row>
    <row r="67" spans="1:81" ht="15" customHeight="1" x14ac:dyDescent="0.25">
      <c r="A67" s="20"/>
      <c r="B67" s="27"/>
      <c r="C67" s="80"/>
      <c r="D67" s="80"/>
      <c r="E67" s="80"/>
      <c r="F67" s="80"/>
      <c r="G67" s="80"/>
      <c r="H67" s="47"/>
      <c r="I67" s="20"/>
      <c r="J67" s="13"/>
      <c r="K67" s="13"/>
      <c r="L67" s="62"/>
      <c r="M67" s="62"/>
      <c r="N67" s="62"/>
      <c r="O67" s="62"/>
      <c r="P67" s="62"/>
      <c r="Q67" s="62"/>
      <c r="R67" s="62"/>
      <c r="S67" s="62"/>
    </row>
    <row r="68" spans="1:81" ht="15" customHeight="1" x14ac:dyDescent="0.25">
      <c r="A68" s="20"/>
      <c r="B68" s="27"/>
      <c r="C68" s="80"/>
      <c r="D68" s="80"/>
      <c r="E68" s="80"/>
      <c r="F68" s="80"/>
      <c r="G68" s="80"/>
      <c r="H68" s="47"/>
      <c r="I68" s="20"/>
      <c r="J68" s="13"/>
      <c r="K68" s="13"/>
      <c r="L68" s="62"/>
      <c r="M68" s="62"/>
      <c r="N68" s="62"/>
      <c r="O68" s="62"/>
      <c r="P68" s="62"/>
      <c r="Q68" s="62"/>
      <c r="R68" s="62"/>
      <c r="S68" s="62"/>
    </row>
    <row r="69" spans="1:81" ht="15" customHeight="1" x14ac:dyDescent="0.25">
      <c r="A69" s="20"/>
      <c r="B69" s="27"/>
      <c r="C69" s="53"/>
      <c r="D69" s="54"/>
      <c r="E69" s="28"/>
      <c r="F69" s="51"/>
      <c r="G69" s="55"/>
      <c r="H69" s="47"/>
      <c r="I69" s="20"/>
      <c r="J69" s="13"/>
      <c r="K69" s="13"/>
      <c r="L69" s="63"/>
      <c r="M69" s="63"/>
      <c r="N69" s="63"/>
      <c r="O69" s="63"/>
      <c r="P69" s="63"/>
      <c r="Q69" s="62"/>
      <c r="R69" s="62"/>
      <c r="S69" s="62"/>
    </row>
    <row r="70" spans="1:81" ht="15" customHeight="1" x14ac:dyDescent="0.25">
      <c r="A70" s="20"/>
      <c r="B70" s="27"/>
      <c r="C70" s="53"/>
      <c r="D70" s="54"/>
      <c r="E70" s="28"/>
      <c r="F70" s="51"/>
      <c r="G70" s="55"/>
      <c r="H70" s="47"/>
      <c r="I70" s="20"/>
      <c r="J70" s="13"/>
      <c r="K70" s="13"/>
      <c r="L70" s="63"/>
      <c r="M70" s="63"/>
      <c r="N70" s="63"/>
      <c r="O70" s="63"/>
      <c r="P70" s="63"/>
      <c r="Q70" s="62"/>
      <c r="R70" s="62"/>
      <c r="S70" s="62"/>
    </row>
    <row r="71" spans="1:81" ht="15" customHeight="1" x14ac:dyDescent="0.25">
      <c r="A71" s="20"/>
      <c r="B71" s="27"/>
      <c r="C71" s="84"/>
      <c r="D71" s="54"/>
      <c r="E71" s="28"/>
      <c r="F71" s="51"/>
      <c r="G71" s="55"/>
      <c r="H71" s="56"/>
      <c r="I71" s="20"/>
      <c r="J71" s="13"/>
      <c r="K71" s="13"/>
      <c r="L71" s="63"/>
      <c r="M71" s="63"/>
      <c r="N71" s="63"/>
      <c r="O71" s="63"/>
      <c r="P71" s="63"/>
      <c r="Q71" s="62"/>
      <c r="R71" s="62"/>
      <c r="S71" s="62"/>
    </row>
    <row r="72" spans="1:81" ht="15" customHeight="1" x14ac:dyDescent="0.25">
      <c r="A72" s="20"/>
      <c r="B72" s="27"/>
      <c r="C72" s="20"/>
      <c r="D72" s="20"/>
      <c r="E72" s="43"/>
      <c r="F72" s="51"/>
      <c r="G72" s="55"/>
      <c r="H72" s="56"/>
      <c r="I72" s="20"/>
      <c r="J72" s="13"/>
      <c r="K72" s="13"/>
      <c r="L72" s="63"/>
      <c r="M72" s="63"/>
      <c r="N72" s="63"/>
      <c r="O72" s="63"/>
      <c r="P72" s="63"/>
      <c r="Q72" s="62"/>
      <c r="R72" s="62"/>
      <c r="S72" s="62"/>
    </row>
    <row r="73" spans="1:81" ht="15" customHeight="1" x14ac:dyDescent="0.25">
      <c r="A73" s="20"/>
      <c r="B73" s="27"/>
      <c r="C73" s="20"/>
      <c r="D73" s="20"/>
      <c r="E73" s="57"/>
      <c r="F73" s="37"/>
      <c r="G73" s="55"/>
      <c r="H73" s="56"/>
      <c r="I73" s="20"/>
      <c r="J73" s="13"/>
      <c r="K73" s="13"/>
      <c r="L73" s="63"/>
      <c r="M73" s="63"/>
      <c r="N73" s="63"/>
      <c r="O73" s="63"/>
      <c r="P73" s="63"/>
      <c r="Q73" s="62"/>
      <c r="R73" s="62"/>
      <c r="S73" s="62"/>
    </row>
    <row r="74" spans="1:81" ht="15" customHeight="1" x14ac:dyDescent="0.25">
      <c r="A74" s="20"/>
      <c r="B74" s="27"/>
      <c r="C74" s="44"/>
      <c r="D74" s="20"/>
      <c r="E74" s="28"/>
      <c r="F74" s="20"/>
      <c r="G74" s="20"/>
      <c r="H74" s="47"/>
      <c r="I74" s="20"/>
      <c r="J74" s="13"/>
      <c r="K74" s="13"/>
      <c r="L74" s="63"/>
      <c r="M74" s="63"/>
      <c r="N74" s="63"/>
      <c r="O74" s="63"/>
      <c r="P74" s="63"/>
      <c r="Q74" s="62"/>
      <c r="R74" s="62"/>
      <c r="S74" s="62"/>
    </row>
    <row r="75" spans="1:81" ht="15" customHeight="1" x14ac:dyDescent="0.25">
      <c r="A75" s="20"/>
      <c r="B75" s="27"/>
      <c r="C75" s="20"/>
      <c r="D75" s="20"/>
      <c r="E75" s="51"/>
      <c r="F75" s="51"/>
      <c r="G75" s="51"/>
      <c r="H75" s="47"/>
      <c r="I75" s="20"/>
      <c r="J75" s="13"/>
      <c r="K75" s="13"/>
      <c r="L75" s="62"/>
      <c r="M75" s="62"/>
      <c r="N75" s="62"/>
      <c r="O75" s="62"/>
      <c r="P75" s="62"/>
      <c r="Q75" s="62"/>
      <c r="R75" s="62"/>
      <c r="S75" s="62"/>
    </row>
    <row r="76" spans="1:81" ht="15" customHeight="1" x14ac:dyDescent="0.25">
      <c r="A76" s="20"/>
      <c r="B76" s="27"/>
      <c r="C76" s="44" t="s">
        <v>0</v>
      </c>
      <c r="D76" s="20"/>
      <c r="E76" s="230"/>
      <c r="F76" s="230"/>
      <c r="G76" s="230"/>
      <c r="H76" s="25"/>
      <c r="I76" s="20"/>
      <c r="J76" s="13"/>
      <c r="K76" s="13"/>
      <c r="L76" s="62"/>
      <c r="M76" s="64"/>
      <c r="N76" s="62"/>
      <c r="O76" s="62"/>
      <c r="P76" s="62"/>
      <c r="Q76" s="62"/>
      <c r="R76" s="62"/>
      <c r="S76" s="62"/>
    </row>
    <row r="77" spans="1:81" ht="15" customHeight="1" x14ac:dyDescent="0.25">
      <c r="A77" s="20"/>
      <c r="B77" s="27"/>
      <c r="C77" s="44" t="str">
        <f>Nabídka!Q7</f>
        <v>Michal Kopl, Kopl Pro</v>
      </c>
      <c r="D77" s="20"/>
      <c r="E77" s="235" t="str">
        <f>"Zaplatit fakturu "&amp;TEXT(G58,"### ##0 Kč")&amp;" - QR platba" &amp; REPT(" ",4)</f>
        <v xml:space="preserve">Zaplatit fakturu 120 538 Kč - QR platba    </v>
      </c>
      <c r="F77" s="235"/>
      <c r="G77" s="235"/>
      <c r="H77" s="25"/>
      <c r="I77" s="20"/>
      <c r="J77" s="13"/>
      <c r="K77" s="13"/>
      <c r="L77" s="65"/>
      <c r="M77" s="62"/>
      <c r="N77" s="62"/>
      <c r="O77" s="62"/>
      <c r="P77" s="62"/>
      <c r="Q77" s="62"/>
      <c r="R77" s="62"/>
      <c r="S77" s="62"/>
    </row>
    <row r="78" spans="1:81" ht="15" customHeight="1" x14ac:dyDescent="0.25">
      <c r="A78" s="20"/>
      <c r="B78" s="27"/>
      <c r="C78" s="58" t="str">
        <f>Nabídka!Q10</f>
        <v>+420 777 062 425</v>
      </c>
      <c r="D78" s="20"/>
      <c r="E78" s="234"/>
      <c r="F78" s="234"/>
      <c r="G78" s="234"/>
      <c r="H78" s="25"/>
      <c r="I78" s="20"/>
      <c r="J78" s="13"/>
      <c r="K78" s="13"/>
      <c r="L78" s="62"/>
      <c r="M78" s="62"/>
      <c r="N78" s="62"/>
      <c r="O78" s="62"/>
      <c r="P78" s="62"/>
      <c r="Q78" s="62"/>
      <c r="R78" s="62"/>
      <c r="S78" s="62"/>
    </row>
    <row r="79" spans="1:81" ht="15" customHeight="1" x14ac:dyDescent="0.25">
      <c r="A79" s="20"/>
      <c r="B79" s="27"/>
      <c r="C79" s="8" t="str">
        <f>Nabídka!Q11</f>
        <v>michal@kopl.pro</v>
      </c>
      <c r="D79" s="20"/>
      <c r="E79" s="28"/>
      <c r="F79" s="31"/>
      <c r="G79" s="20"/>
      <c r="H79" s="25"/>
      <c r="I79" s="20"/>
      <c r="J79" s="13"/>
      <c r="K79" s="13"/>
      <c r="L79" s="62"/>
      <c r="M79" s="62"/>
      <c r="N79" s="62"/>
      <c r="O79" s="62"/>
      <c r="P79" s="62"/>
      <c r="Q79" s="62"/>
      <c r="R79" s="62"/>
      <c r="S79" s="62"/>
    </row>
    <row r="80" spans="1:81" ht="15" customHeight="1" thickBot="1" x14ac:dyDescent="0.3">
      <c r="A80" s="20"/>
      <c r="B80" s="30"/>
      <c r="C80" s="59"/>
      <c r="D80" s="59"/>
      <c r="E80" s="60"/>
      <c r="F80" s="61"/>
      <c r="G80" s="59"/>
      <c r="H80" s="26"/>
      <c r="I80" s="20"/>
      <c r="J80" s="13"/>
      <c r="K80" s="13"/>
      <c r="L80" s="62"/>
      <c r="M80" s="62"/>
      <c r="N80" s="62"/>
      <c r="O80" s="62"/>
      <c r="P80" s="62"/>
      <c r="Q80" s="62"/>
      <c r="R80" s="62"/>
      <c r="S80" s="62"/>
    </row>
    <row r="81" spans="1:19" ht="15" customHeight="1" thickTop="1" thickBot="1" x14ac:dyDescent="0.3">
      <c r="A81" s="20"/>
      <c r="B81" s="20"/>
      <c r="C81" s="20"/>
      <c r="D81" s="20"/>
      <c r="E81" s="28"/>
      <c r="F81" s="31"/>
      <c r="G81" s="31"/>
      <c r="H81" s="20"/>
      <c r="I81" s="20"/>
      <c r="J81" s="15"/>
      <c r="K81" s="13"/>
      <c r="L81" s="62"/>
      <c r="M81" s="62"/>
      <c r="N81" s="62"/>
      <c r="O81" s="62"/>
      <c r="P81" s="62"/>
      <c r="Q81" s="62"/>
      <c r="R81" s="62"/>
      <c r="S81" s="62"/>
    </row>
    <row r="82" spans="1:19" ht="15" thickTop="1" x14ac:dyDescent="0.25">
      <c r="I82" s="2"/>
      <c r="J82" s="13"/>
      <c r="K82" s="13"/>
      <c r="L82" s="62"/>
      <c r="M82" s="62"/>
      <c r="N82" s="62"/>
      <c r="O82" s="62"/>
      <c r="P82" s="62"/>
      <c r="Q82" s="62"/>
      <c r="R82" s="62"/>
      <c r="S82" s="62"/>
    </row>
    <row r="83" spans="1:19" x14ac:dyDescent="0.25">
      <c r="F83" s="3"/>
      <c r="G83" s="3"/>
      <c r="J83" s="13"/>
      <c r="K83" s="13"/>
      <c r="L83" s="62"/>
      <c r="M83" s="62"/>
      <c r="N83" s="62"/>
      <c r="O83" s="62"/>
      <c r="P83" s="62"/>
      <c r="Q83" s="62"/>
      <c r="R83" s="62"/>
      <c r="S83" s="62"/>
    </row>
    <row r="84" spans="1:19" x14ac:dyDescent="0.25">
      <c r="J84" s="13"/>
      <c r="K84" s="13"/>
      <c r="L84" s="13" t="s">
        <v>21</v>
      </c>
      <c r="M84" s="13"/>
      <c r="N84" s="13"/>
      <c r="O84" s="13"/>
      <c r="P84" s="13"/>
      <c r="Q84" s="13"/>
      <c r="R84" s="13"/>
      <c r="S84" s="13"/>
    </row>
    <row r="85" spans="1:19" x14ac:dyDescent="0.25">
      <c r="J85" s="13"/>
      <c r="K85" s="13"/>
      <c r="L85" s="13" t="s">
        <v>22</v>
      </c>
      <c r="M85" s="13"/>
      <c r="N85" s="13"/>
      <c r="O85" s="13"/>
      <c r="P85" s="13"/>
      <c r="Q85" s="13"/>
      <c r="R85" s="13"/>
      <c r="S85" s="13"/>
    </row>
    <row r="86" spans="1:19" x14ac:dyDescent="0.25">
      <c r="J86" s="13"/>
      <c r="K86" s="13"/>
      <c r="L86" s="13"/>
      <c r="M86" s="13"/>
      <c r="N86" s="13"/>
      <c r="O86" s="13"/>
      <c r="P86" s="13"/>
      <c r="Q86" s="13"/>
      <c r="R86" s="13"/>
      <c r="S86" s="13"/>
    </row>
    <row r="87" spans="1:19" x14ac:dyDescent="0.25"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5" x14ac:dyDescent="0.25">
      <c r="C88" s="66"/>
      <c r="J88" s="13"/>
      <c r="K88" s="13"/>
      <c r="L88" s="13"/>
      <c r="M88" s="13"/>
      <c r="N88" s="13"/>
      <c r="O88" s="13"/>
      <c r="P88" s="13"/>
      <c r="Q88" s="13"/>
      <c r="R88" s="13"/>
      <c r="S88" s="13"/>
    </row>
    <row r="89" spans="1:19" x14ac:dyDescent="0.25"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x14ac:dyDescent="0.25"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x14ac:dyDescent="0.25">
      <c r="J91" s="13"/>
      <c r="K91" s="13"/>
      <c r="L91" s="13"/>
      <c r="M91" s="13"/>
      <c r="N91" s="13"/>
      <c r="O91" s="13"/>
      <c r="P91" s="13"/>
      <c r="Q91" s="13"/>
      <c r="R91" s="13"/>
      <c r="S91" s="13"/>
    </row>
    <row r="92" spans="1:19" x14ac:dyDescent="0.25"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x14ac:dyDescent="0.25"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x14ac:dyDescent="0.25">
      <c r="J94" s="13"/>
      <c r="K94" s="13"/>
      <c r="L94" s="13"/>
      <c r="M94" s="13"/>
      <c r="N94" s="13"/>
      <c r="O94" s="13"/>
      <c r="P94" s="13"/>
      <c r="Q94" s="13"/>
      <c r="R94" s="13"/>
      <c r="S94" s="13"/>
    </row>
    <row r="95" spans="1:19" ht="15" x14ac:dyDescent="0.25">
      <c r="D95" s="4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x14ac:dyDescent="0.25"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0:19" x14ac:dyDescent="0.25">
      <c r="J97" s="13"/>
      <c r="K97" s="13"/>
      <c r="L97" s="13"/>
      <c r="M97" s="13"/>
      <c r="N97" s="13"/>
      <c r="O97" s="13"/>
      <c r="P97" s="13"/>
      <c r="Q97" s="13"/>
      <c r="R97" s="13"/>
      <c r="S97" s="13"/>
    </row>
    <row r="98" spans="10:19" x14ac:dyDescent="0.25"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0:19" x14ac:dyDescent="0.25"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0:19" x14ac:dyDescent="0.25"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0:19" x14ac:dyDescent="0.25"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0:19" x14ac:dyDescent="0.25"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0:19" x14ac:dyDescent="0.25">
      <c r="J103" s="13"/>
      <c r="K103" s="13"/>
      <c r="L103" s="13"/>
      <c r="M103" s="13"/>
      <c r="N103" s="13"/>
      <c r="O103" s="13"/>
      <c r="P103" s="13"/>
      <c r="Q103" s="13"/>
      <c r="R103" s="13"/>
      <c r="S103" s="13"/>
    </row>
    <row r="104" spans="10:19" x14ac:dyDescent="0.25"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0:19" x14ac:dyDescent="0.25"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0:19" x14ac:dyDescent="0.25">
      <c r="J106" s="13"/>
      <c r="K106" s="13"/>
      <c r="L106" s="13"/>
      <c r="M106" s="13"/>
      <c r="N106" s="13"/>
      <c r="O106" s="13"/>
      <c r="P106" s="13"/>
      <c r="Q106" s="13"/>
      <c r="R106" s="13"/>
      <c r="S106" s="13"/>
    </row>
    <row r="107" spans="10:19" x14ac:dyDescent="0.25"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0:19" x14ac:dyDescent="0.25"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0:19" x14ac:dyDescent="0.25">
      <c r="J109" s="13"/>
      <c r="K109" s="13"/>
      <c r="L109" s="13"/>
      <c r="M109" s="13"/>
      <c r="N109" s="13"/>
      <c r="O109" s="13"/>
      <c r="P109" s="13"/>
      <c r="Q109" s="13"/>
      <c r="R109" s="13"/>
      <c r="S109" s="13"/>
    </row>
    <row r="110" spans="10:19" x14ac:dyDescent="0.25"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0:19" x14ac:dyDescent="0.25"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0:19" x14ac:dyDescent="0.25">
      <c r="J112" s="13"/>
      <c r="K112" s="13"/>
      <c r="L112" s="13"/>
      <c r="M112" s="13"/>
      <c r="N112" s="13"/>
      <c r="O112" s="13"/>
      <c r="P112" s="13"/>
      <c r="Q112" s="13"/>
      <c r="R112" s="13"/>
      <c r="S112" s="13"/>
    </row>
    <row r="113" spans="10:19" x14ac:dyDescent="0.25"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0:19" x14ac:dyDescent="0.25"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0:19" x14ac:dyDescent="0.25"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0:19" x14ac:dyDescent="0.25"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0:19" x14ac:dyDescent="0.25"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0:19" x14ac:dyDescent="0.25">
      <c r="J118" s="13"/>
      <c r="K118" s="13"/>
      <c r="L118" s="13"/>
      <c r="M118" s="13"/>
      <c r="N118" s="13"/>
      <c r="O118" s="13"/>
      <c r="P118" s="13"/>
      <c r="Q118" s="13"/>
      <c r="R118" s="13"/>
      <c r="S118" s="13"/>
    </row>
  </sheetData>
  <sheetProtection selectLockedCells="1"/>
  <protectedRanges>
    <protectedRange sqref="L16 L54:L55" name="Lhůta provedení"/>
    <protectedRange sqref="C47:F52 C20:F42" name="Materiál"/>
    <protectedRange sqref="C16:D16" name="StavbaTermín"/>
    <protectedRange sqref="G4" name="Podklad"/>
    <protectedRange sqref="D6:D10" name="Objednatel"/>
    <protectedRange sqref="C78" name="Telefon"/>
    <protectedRange sqref="C57:C58" name="StavebniPripravenost"/>
  </protectedRanges>
  <mergeCells count="37">
    <mergeCell ref="E77:G77"/>
    <mergeCell ref="Q12:T12"/>
    <mergeCell ref="Q13:T13"/>
    <mergeCell ref="Q14:T14"/>
    <mergeCell ref="O26:T33"/>
    <mergeCell ref="E43:F43"/>
    <mergeCell ref="D10:G10"/>
    <mergeCell ref="L10:O10"/>
    <mergeCell ref="Q10:T10"/>
    <mergeCell ref="L11:O11"/>
    <mergeCell ref="Q11:T11"/>
    <mergeCell ref="Q8:T8"/>
    <mergeCell ref="B9:C9"/>
    <mergeCell ref="D9:G9"/>
    <mergeCell ref="L9:O9"/>
    <mergeCell ref="Q9:T9"/>
    <mergeCell ref="Q6:T6"/>
    <mergeCell ref="B7:C7"/>
    <mergeCell ref="D7:G7"/>
    <mergeCell ref="L7:O7"/>
    <mergeCell ref="Q7:T7"/>
    <mergeCell ref="E76:G76"/>
    <mergeCell ref="B5:C5"/>
    <mergeCell ref="D5:G5"/>
    <mergeCell ref="L5:O5"/>
    <mergeCell ref="B2:D4"/>
    <mergeCell ref="E2:F2"/>
    <mergeCell ref="E3:F3"/>
    <mergeCell ref="E4:G4"/>
    <mergeCell ref="B6:C6"/>
    <mergeCell ref="D6:G6"/>
    <mergeCell ref="L6:O6"/>
    <mergeCell ref="B8:C8"/>
    <mergeCell ref="D8:G8"/>
    <mergeCell ref="L8:O8"/>
    <mergeCell ref="E53:F53"/>
    <mergeCell ref="B10:C10"/>
  </mergeCells>
  <hyperlinks>
    <hyperlink ref="C79" r:id="rId1" display="michal@kopl.pro" xr:uid="{E3656ABF-8D87-48E5-A38D-07A48A1C2BE0}"/>
  </hyperlinks>
  <printOptions horizontalCentered="1" verticalCentered="1"/>
  <pageMargins left="0.23622047244094491" right="0.23622047244094491" top="0.19685039370078741" bottom="0.19685039370078741" header="0.31496062992125984" footer="0.31496062992125984"/>
  <pageSetup paperSize="9" scale="60" orientation="portrait" r:id="rId2"/>
  <headerFooter alignWithMargins="0">
    <oddFooter>&amp;CTento doklad je vystaven elektronicky, aby šetřil přírodu. Je podepsán kvalifikovaným certifikátem CA PostSignum a má stejnou právní váhu jako listinný dokument.</oddFooter>
  </headerFooter>
  <ignoredErrors>
    <ignoredError xmlns:x16r3="http://schemas.microsoft.com/office/spreadsheetml/2018/08/main" sqref="D16" x16r3:misleadingFormat="1"/>
  </ignoredErrors>
  <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A81DE-9ED3-4942-B5A4-EEE9DE9CAAFF}">
  <sheetPr codeName="Sheet2">
    <pageSetUpPr fitToPage="1"/>
  </sheetPr>
  <dimension ref="A1:CC118"/>
  <sheetViews>
    <sheetView topLeftCell="A11" zoomScaleNormal="100" zoomScalePageLayoutView="25" workbookViewId="0">
      <selection activeCell="C65" sqref="C65"/>
    </sheetView>
  </sheetViews>
  <sheetFormatPr defaultColWidth="9.140625" defaultRowHeight="14.25" x14ac:dyDescent="0.25"/>
  <cols>
    <col min="1" max="2" width="3.28515625" style="1" customWidth="1"/>
    <col min="3" max="3" width="77.5703125" style="1" bestFit="1" customWidth="1"/>
    <col min="4" max="4" width="13.28515625" style="1" customWidth="1"/>
    <col min="5" max="5" width="20.42578125" style="1" customWidth="1"/>
    <col min="6" max="6" width="13.42578125" style="1" bestFit="1" customWidth="1"/>
    <col min="7" max="7" width="15.7109375" style="1" customWidth="1"/>
    <col min="8" max="9" width="3.28515625" style="1" customWidth="1"/>
    <col min="10" max="11" width="9.140625" style="1"/>
    <col min="12" max="12" width="9.5703125" style="1" customWidth="1"/>
    <col min="13" max="13" width="32.7109375" style="1" bestFit="1" customWidth="1"/>
    <col min="14" max="14" width="2.140625" style="1" customWidth="1"/>
    <col min="15" max="15" width="24.28515625" style="1" customWidth="1"/>
    <col min="16" max="16" width="2.28515625" style="1" customWidth="1"/>
    <col min="17" max="19" width="9.140625" style="1"/>
    <col min="20" max="20" width="21.28515625" style="1" customWidth="1"/>
    <col min="21" max="25" width="9.140625" style="1"/>
    <col min="26" max="26" width="14.42578125" style="1" bestFit="1" customWidth="1"/>
    <col min="27" max="16384" width="9.140625" style="1"/>
  </cols>
  <sheetData>
    <row r="1" spans="1:26" ht="21" thickBot="1" x14ac:dyDescent="0.3">
      <c r="A1" s="20"/>
      <c r="B1" s="20"/>
      <c r="C1" s="20"/>
      <c r="D1" s="20"/>
      <c r="E1" s="20"/>
      <c r="F1" s="20"/>
      <c r="G1" s="20"/>
      <c r="H1" s="20"/>
      <c r="I1" s="20"/>
      <c r="L1" s="12"/>
      <c r="M1" s="12"/>
      <c r="N1" s="12"/>
      <c r="O1" s="12"/>
      <c r="P1" s="12"/>
    </row>
    <row r="2" spans="1:26" ht="21" customHeight="1" thickTop="1" x14ac:dyDescent="0.25">
      <c r="A2" s="20"/>
      <c r="B2" s="176" t="str" cm="1">
        <f t="array" ref="B2">REPT(" ",20) &amp; "FAKTURA " &amp; TEXT(((LEFT(TEXT((MAX(VALUE(Vystavené!D14:D79))),"#0000000"),3)*1))&amp;RIGHT(TEXT((MAX(VALUE(Vystavené!D14:D79))),"#0000000"),4),"#0000000")</f>
        <v xml:space="preserve">                    FAKTURA 0172025</v>
      </c>
      <c r="C2" s="176"/>
      <c r="D2" s="176"/>
      <c r="E2" s="166" t="s">
        <v>23</v>
      </c>
      <c r="F2" s="167"/>
      <c r="G2" s="21">
        <f ca="1">Nabídka!G2</f>
        <v>45886</v>
      </c>
      <c r="H2" s="22"/>
      <c r="I2" s="20"/>
      <c r="T2" s="16"/>
    </row>
    <row r="3" spans="1:26" ht="21" customHeight="1" x14ac:dyDescent="0.2">
      <c r="A3" s="20"/>
      <c r="B3" s="176"/>
      <c r="C3" s="176"/>
      <c r="D3" s="176"/>
      <c r="E3" s="164" t="s">
        <v>24</v>
      </c>
      <c r="F3" s="165"/>
      <c r="G3" s="24">
        <f ca="1">G2+14</f>
        <v>45900</v>
      </c>
      <c r="H3" s="25"/>
      <c r="I3" s="20"/>
      <c r="L3" s="152"/>
      <c r="T3" s="16"/>
    </row>
    <row r="4" spans="1:26" ht="15.75" customHeight="1" thickBot="1" x14ac:dyDescent="0.25">
      <c r="A4" s="20"/>
      <c r="B4" s="176"/>
      <c r="C4" s="176"/>
      <c r="D4" s="176"/>
      <c r="E4" s="217" t="str">
        <f>"Název projektu: "&amp;Nabídka!L5</f>
        <v>Název projektu: Biz Data a.s.</v>
      </c>
      <c r="F4" s="218"/>
      <c r="G4" s="218"/>
      <c r="H4" s="26"/>
      <c r="I4" s="20"/>
      <c r="L4" s="152"/>
      <c r="M4" s="152"/>
      <c r="N4" s="152"/>
      <c r="O4" s="152"/>
    </row>
    <row r="5" spans="1:26" s="146" customFormat="1" ht="16.5" customHeight="1" thickTop="1" x14ac:dyDescent="0.25">
      <c r="A5" s="144"/>
      <c r="B5" s="172" t="str">
        <f>REPT(" ",6)&amp;"Dodavatel:"</f>
        <v xml:space="preserve">      Dodavatel:</v>
      </c>
      <c r="C5" s="180"/>
      <c r="D5" s="172" t="str">
        <f>REPT(" ",6)&amp;"Odběratel:"</f>
        <v xml:space="preserve">      Odběratel:</v>
      </c>
      <c r="E5" s="173"/>
      <c r="F5" s="173"/>
      <c r="G5" s="173"/>
      <c r="H5" s="145"/>
      <c r="I5" s="144"/>
      <c r="L5" s="207"/>
      <c r="M5" s="207"/>
      <c r="N5" s="207"/>
      <c r="O5" s="207"/>
      <c r="Z5" s="147"/>
    </row>
    <row r="6" spans="1:26" ht="15" customHeight="1" x14ac:dyDescent="0.25">
      <c r="A6" s="20"/>
      <c r="B6" s="181" t="str">
        <f>REPT(" ",6)&amp;Nabídka!Q7</f>
        <v xml:space="preserve">      Michal Kopl, Kopl Pro</v>
      </c>
      <c r="C6" s="182"/>
      <c r="D6" s="183" t="str">
        <f>Nabídka!D6</f>
        <v xml:space="preserve">      Pavla Černá, BIZ DATA a.s.</v>
      </c>
      <c r="E6" s="184"/>
      <c r="F6" s="184"/>
      <c r="G6" s="184"/>
      <c r="H6" s="25"/>
      <c r="I6" s="20"/>
      <c r="L6" s="210"/>
      <c r="M6" s="210"/>
      <c r="N6" s="210"/>
      <c r="O6" s="210"/>
      <c r="Q6" s="185"/>
      <c r="R6" s="185"/>
      <c r="S6" s="185"/>
      <c r="T6" s="185"/>
    </row>
    <row r="7" spans="1:26" ht="15" customHeight="1" x14ac:dyDescent="0.25">
      <c r="A7" s="20"/>
      <c r="B7" s="181" t="str">
        <f>REPT(" ",6)&amp;Nabídka!Q8&amp;", "&amp;Nabídka!Q9</f>
        <v xml:space="preserve">      Krškova 783/15, Praha 5 - Hlubočepy, Česká Republika, 152 00</v>
      </c>
      <c r="C7" s="182"/>
      <c r="D7" s="183" t="str">
        <f>Nabídka!D7</f>
        <v xml:space="preserve">      Táborská 31, Praha 4-Nusle, Česká Republika, 140 00</v>
      </c>
      <c r="E7" s="184"/>
      <c r="F7" s="184"/>
      <c r="G7" s="184"/>
      <c r="H7" s="25"/>
      <c r="I7" s="20"/>
      <c r="L7" s="211"/>
      <c r="M7" s="211"/>
      <c r="N7" s="211"/>
      <c r="O7" s="211"/>
      <c r="Q7" s="211"/>
      <c r="R7" s="211"/>
      <c r="S7" s="211"/>
      <c r="T7" s="211"/>
    </row>
    <row r="8" spans="1:26" ht="15" customHeight="1" x14ac:dyDescent="0.25">
      <c r="A8" s="20"/>
      <c r="B8" s="181" t="str">
        <f>REPT(" ",6)&amp;Nabídka!Q10&amp;" , "&amp;Nabídka!Q11&amp;" , "&amp;Nabídka!Q14</f>
        <v xml:space="preserve">      +420 777 062 425 , michal@kopl.pro , https://www.kopl.pro</v>
      </c>
      <c r="C8" s="182"/>
      <c r="D8" s="183" t="str">
        <f>Nabídka!D8</f>
        <v xml:space="preserve">      +420 725 960 560</v>
      </c>
      <c r="E8" s="184"/>
      <c r="F8" s="184"/>
      <c r="G8" s="184"/>
      <c r="H8" s="25"/>
      <c r="I8" s="20"/>
      <c r="L8" s="211"/>
      <c r="M8" s="211"/>
      <c r="N8" s="211"/>
      <c r="O8" s="211"/>
      <c r="Q8" s="211"/>
      <c r="R8" s="211"/>
      <c r="S8" s="211"/>
      <c r="T8" s="211"/>
    </row>
    <row r="9" spans="1:26" ht="15" customHeight="1" x14ac:dyDescent="0.25">
      <c r="A9" s="20"/>
      <c r="B9" s="181" t="str" cm="1">
        <f t="array" ref="B9">REPT(" ",6)&amp;"BÚ:"&amp;Nabídka!Q12&amp;", VS:"&amp;TEXT(((LEFT(TEXT((MAX(VALUE(Vystavené!D14:D79))),"#0000000"),3)*1))&amp;RIGHT(TEXT((MAX(VALUE(Vystavené!D14:D79))),"#0000000"),4),"#0000000")&amp;", IBAN:"&amp;Nabídka!Q13</f>
        <v xml:space="preserve">      BÚ:000000-1028895568/5500, VS:0172025, IBAN:CZ5655000000001028895568</v>
      </c>
      <c r="C9" s="182"/>
      <c r="D9" s="183" t="str">
        <f>Nabídka!D9</f>
        <v xml:space="preserve">      cerna@bizdata.cz, https://www.bizdata.cz</v>
      </c>
      <c r="E9" s="184"/>
      <c r="F9" s="184"/>
      <c r="G9" s="184"/>
      <c r="H9" s="25"/>
      <c r="I9" s="20"/>
      <c r="L9" s="212"/>
      <c r="M9" s="212"/>
      <c r="N9" s="212"/>
      <c r="O9" s="212"/>
      <c r="P9" s="9"/>
      <c r="Q9" s="211"/>
      <c r="R9" s="211"/>
      <c r="S9" s="211"/>
      <c r="T9" s="211"/>
    </row>
    <row r="10" spans="1:26" ht="15" customHeight="1" x14ac:dyDescent="0.25">
      <c r="A10" s="20"/>
      <c r="B10" s="181" t="str">
        <f>REPT(" ",6)&amp;Nabídka!Q15</f>
        <v xml:space="preserve">      IČO: 03217213, Dodavatel není plátcem DPH dle § 6 zákona o DPH.</v>
      </c>
      <c r="C10" s="182"/>
      <c r="D10" s="183" t="str">
        <f>Nabídka!D10</f>
        <v xml:space="preserve">      IČO: 61858757</v>
      </c>
      <c r="E10" s="184"/>
      <c r="F10" s="184"/>
      <c r="G10" s="184"/>
      <c r="H10" s="25"/>
      <c r="I10" s="20"/>
      <c r="L10" s="211"/>
      <c r="M10" s="211"/>
      <c r="N10" s="211"/>
      <c r="O10" s="211"/>
      <c r="Q10" s="211"/>
      <c r="R10" s="211"/>
      <c r="S10" s="211"/>
      <c r="T10" s="211"/>
    </row>
    <row r="11" spans="1:26" ht="15" customHeight="1" thickBot="1" x14ac:dyDescent="0.3">
      <c r="A11" s="20"/>
      <c r="B11" s="30"/>
      <c r="C11" s="19"/>
      <c r="D11" s="27"/>
      <c r="E11" s="20"/>
      <c r="F11" s="31"/>
      <c r="G11" s="31"/>
      <c r="H11" s="25"/>
      <c r="I11" s="20"/>
      <c r="L11" s="213"/>
      <c r="M11" s="211"/>
      <c r="N11" s="211"/>
      <c r="O11" s="211"/>
      <c r="Q11" s="213"/>
      <c r="R11" s="211"/>
      <c r="S11" s="211"/>
      <c r="T11" s="211"/>
    </row>
    <row r="12" spans="1:26" ht="15" customHeight="1" thickTop="1" x14ac:dyDescent="0.25">
      <c r="A12" s="20"/>
      <c r="B12" s="32"/>
      <c r="C12" s="33"/>
      <c r="D12" s="34"/>
      <c r="E12" s="34"/>
      <c r="F12" s="35"/>
      <c r="G12" s="35"/>
      <c r="H12" s="22"/>
      <c r="I12" s="20"/>
      <c r="Q12" s="211"/>
      <c r="R12" s="211"/>
      <c r="S12" s="211"/>
      <c r="T12" s="211"/>
    </row>
    <row r="13" spans="1:26" ht="15" customHeight="1" x14ac:dyDescent="0.25">
      <c r="A13" s="20"/>
      <c r="B13" s="27"/>
      <c r="C13" s="23"/>
      <c r="D13" s="29"/>
      <c r="E13" s="29"/>
      <c r="F13" s="31"/>
      <c r="G13" s="31"/>
      <c r="H13" s="25"/>
      <c r="I13" s="20"/>
      <c r="Q13" s="211"/>
      <c r="R13" s="211"/>
      <c r="S13" s="211"/>
      <c r="T13" s="211"/>
      <c r="U13" s="18"/>
    </row>
    <row r="14" spans="1:26" ht="15" customHeight="1" x14ac:dyDescent="0.25">
      <c r="A14" s="20"/>
      <c r="B14" s="27"/>
      <c r="C14" s="20"/>
      <c r="D14" s="36"/>
      <c r="E14" s="28"/>
      <c r="F14" s="31"/>
      <c r="G14" s="31"/>
      <c r="H14" s="25"/>
      <c r="I14" s="20"/>
      <c r="Q14" s="213"/>
      <c r="R14" s="211"/>
      <c r="S14" s="211"/>
      <c r="T14" s="211"/>
    </row>
    <row r="15" spans="1:26" ht="15" customHeight="1" x14ac:dyDescent="0.25">
      <c r="A15" s="20"/>
      <c r="B15" s="27"/>
      <c r="C15" s="37" t="s">
        <v>4</v>
      </c>
      <c r="D15" s="154" t="s">
        <v>5</v>
      </c>
      <c r="E15" s="38" t="s">
        <v>57</v>
      </c>
      <c r="F15" s="39"/>
      <c r="G15" s="31"/>
      <c r="H15" s="25"/>
      <c r="I15" s="20"/>
      <c r="L15" s="10"/>
      <c r="T15" s="5"/>
    </row>
    <row r="16" spans="1:26" ht="15" customHeight="1" x14ac:dyDescent="0.25">
      <c r="A16" s="20"/>
      <c r="B16" s="27"/>
      <c r="C16" s="20" t="str">
        <f>Nabídka!C16</f>
        <v>Česká Rpeublika</v>
      </c>
      <c r="D16" s="156">
        <f ca="1">Nabídka!G3</f>
        <v>45916</v>
      </c>
      <c r="E16" s="40" t="str">
        <f>IF(Nabídka!L16=1,Nabídka!L16&amp;" hodina",IF(AND(Nabídka!L16&gt;1,Nabídka!L16&lt;5),Nabídka!L16&amp;" hodiny",Nabídka!L16&amp;" hodin"))</f>
        <v>192 hodin</v>
      </c>
      <c r="F16" s="41"/>
      <c r="G16" s="31"/>
      <c r="H16" s="25"/>
      <c r="I16" s="20"/>
      <c r="L16" s="73"/>
      <c r="M16" s="10"/>
      <c r="T16" s="5"/>
    </row>
    <row r="17" spans="1:23" ht="15" customHeight="1" x14ac:dyDescent="0.25">
      <c r="A17" s="20"/>
      <c r="B17" s="27"/>
      <c r="C17" s="20"/>
      <c r="D17" s="42"/>
      <c r="E17" s="28"/>
      <c r="F17" s="31"/>
      <c r="G17" s="31"/>
      <c r="H17" s="25"/>
      <c r="I17" s="20"/>
      <c r="T17" s="6"/>
    </row>
    <row r="18" spans="1:23" ht="15" customHeight="1" x14ac:dyDescent="0.25">
      <c r="A18" s="20"/>
      <c r="B18" s="27"/>
      <c r="C18" s="37"/>
      <c r="D18" s="37"/>
      <c r="E18" s="43"/>
      <c r="F18" s="31"/>
      <c r="G18" s="31"/>
      <c r="H18" s="25"/>
      <c r="I18" s="20"/>
    </row>
    <row r="19" spans="1:23" ht="15" customHeight="1" x14ac:dyDescent="0.25">
      <c r="A19" s="20"/>
      <c r="B19" s="27"/>
      <c r="C19" s="20" t="s">
        <v>6</v>
      </c>
      <c r="D19" s="44" t="s">
        <v>7</v>
      </c>
      <c r="E19" s="40" t="s">
        <v>8</v>
      </c>
      <c r="F19" s="45" t="s">
        <v>10</v>
      </c>
      <c r="G19" s="45" t="s">
        <v>9</v>
      </c>
      <c r="H19" s="46"/>
      <c r="I19" s="20"/>
      <c r="L19" s="10"/>
    </row>
    <row r="20" spans="1:23" ht="15" customHeight="1" x14ac:dyDescent="0.25">
      <c r="A20" s="20"/>
      <c r="B20" s="27"/>
      <c r="C20" s="71" t="str">
        <f>IF(Nabídka!C20&lt;&gt;"",Nabídka!C20,"")</f>
        <v>IT Administrátorské a IT konzultační činnosti</v>
      </c>
      <c r="D20" s="44" t="str">
        <f>IF(Nabídka!D20&lt;&gt;"",Nabídka!D20,"")</f>
        <v>hodina</v>
      </c>
      <c r="E20" s="44">
        <f>IF(Nabídka!E20&lt;&gt;"",Nabídka!E20,"")</f>
        <v>60</v>
      </c>
      <c r="F20" s="124">
        <f>IF(Nabídka!F20&lt;&gt;"",Nabídka!F20,"")</f>
        <v>625</v>
      </c>
      <c r="G20" s="124">
        <f>IF(AND((Nabídka!C20&lt;&gt;""),(Nabídka!D20&lt;&gt;""),(Nabídka!E20&lt;&gt;""),(Nabídka!F20&lt;&gt;"")),(Nabídka!E20*Nabídka!F20),"")</f>
        <v>37500</v>
      </c>
      <c r="H20" s="46"/>
      <c r="I20" s="20"/>
      <c r="M20" s="7"/>
      <c r="W20" s="69"/>
    </row>
    <row r="21" spans="1:23" ht="15" customHeight="1" x14ac:dyDescent="0.25">
      <c r="A21" s="20"/>
      <c r="B21" s="27"/>
      <c r="C21" s="71" t="str">
        <f>IF(Nabídka!C21&lt;&gt;"",Nabídka!C21,"")</f>
        <v>Školení</v>
      </c>
      <c r="D21" s="44" t="str">
        <f>IF(Nabídka!D21&lt;&gt;"",Nabídka!D21,"")</f>
        <v>hodina</v>
      </c>
      <c r="E21" s="44">
        <f>IF(Nabídka!E21&lt;&gt;"",Nabídka!E21,"")</f>
        <v>12</v>
      </c>
      <c r="F21" s="124">
        <f>IF(Nabídka!F21&lt;&gt;"",Nabídka!F21,"")</f>
        <v>625</v>
      </c>
      <c r="G21" s="124">
        <f>IF(AND((Nabídka!C21&lt;&gt;""),(Nabídka!D21&lt;&gt;""),(Nabídka!E21&lt;&gt;""),(Nabídka!F21&lt;&gt;"")),(Nabídka!E21*Nabídka!F21),"")</f>
        <v>7500</v>
      </c>
      <c r="H21" s="46"/>
      <c r="I21" s="20"/>
      <c r="M21" s="7"/>
      <c r="W21" s="69"/>
    </row>
    <row r="22" spans="1:23" ht="15" customHeight="1" x14ac:dyDescent="0.25">
      <c r="A22" s="20"/>
      <c r="B22" s="27"/>
      <c r="C22" s="71" t="str">
        <f>IF(Nabídka!C22&lt;&gt;"",Nabídka!C22,"")</f>
        <v>Samostudium</v>
      </c>
      <c r="D22" s="44" t="str">
        <f>IF(Nabídka!D22&lt;&gt;"",Nabídka!D22,"")</f>
        <v>hodina</v>
      </c>
      <c r="E22" s="44">
        <f>IF(Nabídka!E22&lt;&gt;"",Nabídka!E22,"")</f>
        <v>43</v>
      </c>
      <c r="F22" s="124">
        <f>IF(Nabídka!F22&lt;&gt;"",Nabídka!F22,"")</f>
        <v>625</v>
      </c>
      <c r="G22" s="124">
        <f>IF(AND((Nabídka!C22&lt;&gt;""),(Nabídka!D22&lt;&gt;""),(Nabídka!E22&lt;&gt;""),(Nabídka!F22&lt;&gt;"")),(Nabídka!E22*Nabídka!F22),"")</f>
        <v>26875</v>
      </c>
      <c r="H22" s="46"/>
      <c r="I22" s="20"/>
      <c r="L22" s="10"/>
      <c r="M22" s="7"/>
      <c r="W22" s="69"/>
    </row>
    <row r="23" spans="1:23" ht="15" customHeight="1" x14ac:dyDescent="0.25">
      <c r="A23" s="20"/>
      <c r="B23" s="27"/>
      <c r="C23" s="71" t="str">
        <f>IF(Nabídka!C23&lt;&gt;"",Nabídka!C23,"")</f>
        <v>Aktualizace dokumentace</v>
      </c>
      <c r="D23" s="44" t="str">
        <f>IF(Nabídka!D23&lt;&gt;"",Nabídka!D23,"")</f>
        <v>hodina</v>
      </c>
      <c r="E23" s="44">
        <f>IF(Nabídka!E23&lt;&gt;"",Nabídka!E23,"")</f>
        <v>16</v>
      </c>
      <c r="F23" s="124">
        <f>IF(Nabídka!F23&lt;&gt;"",Nabídka!F23,"")</f>
        <v>625</v>
      </c>
      <c r="G23" s="124">
        <f>IF(AND((Nabídka!C23&lt;&gt;""),(Nabídka!D23&lt;&gt;""),(Nabídka!E23&lt;&gt;""),(Nabídka!F23&lt;&gt;"")),(Nabídka!E23*Nabídka!F23),"")</f>
        <v>10000</v>
      </c>
      <c r="H23" s="46"/>
      <c r="I23" s="20"/>
      <c r="M23" s="7"/>
      <c r="W23" s="69"/>
    </row>
    <row r="24" spans="1:23" ht="15" customHeight="1" x14ac:dyDescent="0.25">
      <c r="A24" s="20"/>
      <c r="B24" s="27"/>
      <c r="C24" s="71" t="str">
        <f>IF(Nabídka!C24&lt;&gt;"",Nabídka!C24,"")</f>
        <v>Tvorba návodů</v>
      </c>
      <c r="D24" s="44" t="str">
        <f>IF(Nabídka!D24&lt;&gt;"",Nabídka!D24,"")</f>
        <v>hodina</v>
      </c>
      <c r="E24" s="44">
        <f>IF(Nabídka!E24&lt;&gt;"",Nabídka!E24,"")</f>
        <v>12</v>
      </c>
      <c r="F24" s="124">
        <f>IF(Nabídka!F24&lt;&gt;"",Nabídka!F24,"")</f>
        <v>625</v>
      </c>
      <c r="G24" s="124">
        <f>IF(AND((Nabídka!C24&lt;&gt;""),(Nabídka!D24&lt;&gt;""),(Nabídka!E24&lt;&gt;""),(Nabídka!F24&lt;&gt;"")),(Nabídka!E24*Nabídka!F24),"")</f>
        <v>7500</v>
      </c>
      <c r="H24" s="46"/>
      <c r="I24" s="20"/>
      <c r="L24" s="10"/>
      <c r="M24" s="7"/>
      <c r="W24" s="69"/>
    </row>
    <row r="25" spans="1:23" ht="15" customHeight="1" x14ac:dyDescent="0.25">
      <c r="A25" s="20"/>
      <c r="B25" s="27"/>
      <c r="C25" s="71" t="str">
        <f>IF(Nabídka!C25&lt;&gt;"",Nabídka!C25,"")</f>
        <v>Správa systému Halo ITSM</v>
      </c>
      <c r="D25" s="44" t="str">
        <f>IF(Nabídka!D25&lt;&gt;"",Nabídka!D25,"")</f>
        <v>hodina</v>
      </c>
      <c r="E25" s="44">
        <f>IF(Nabídka!E25&lt;&gt;"",Nabídka!E25,"")</f>
        <v>15</v>
      </c>
      <c r="F25" s="124">
        <f>IF(Nabídka!F25&lt;&gt;"",Nabídka!F25,"")</f>
        <v>625</v>
      </c>
      <c r="G25" s="124">
        <f>IF(AND((Nabídka!C25&lt;&gt;""),(Nabídka!D25&lt;&gt;""),(Nabídka!E25&lt;&gt;""),(Nabídka!F25&lt;&gt;"")),(Nabídka!E25*Nabídka!F25),"")</f>
        <v>9375</v>
      </c>
      <c r="H25" s="46"/>
      <c r="I25" s="20"/>
      <c r="M25" s="7"/>
      <c r="W25" s="69"/>
    </row>
    <row r="26" spans="1:23" ht="15" customHeight="1" x14ac:dyDescent="0.25">
      <c r="A26" s="20"/>
      <c r="B26" s="27"/>
      <c r="C26" s="71" t="str">
        <f>IF(Nabídka!C26&lt;&gt;"",Nabídka!C26,"")</f>
        <v>Prezentace klávesové zkratky Windows 11</v>
      </c>
      <c r="D26" s="44" t="str">
        <f>IF(Nabídka!D26&lt;&gt;"",Nabídka!D26,"")</f>
        <v>hodina</v>
      </c>
      <c r="E26" s="44">
        <f>IF(Nabídka!E26&lt;&gt;"",Nabídka!E26,"")</f>
        <v>2</v>
      </c>
      <c r="F26" s="124">
        <f>IF(Nabídka!F26&lt;&gt;"",Nabídka!F26,"")</f>
        <v>625</v>
      </c>
      <c r="G26" s="124">
        <f>IF(AND((Nabídka!C26&lt;&gt;""),(Nabídka!D26&lt;&gt;""),(Nabídka!E26&lt;&gt;""),(Nabídka!F26&lt;&gt;"")),(Nabídka!E26*Nabídka!F26),"")</f>
        <v>1250</v>
      </c>
      <c r="H26" s="46"/>
      <c r="I26" s="20"/>
      <c r="M26" s="7"/>
      <c r="O26" s="214"/>
      <c r="P26" s="214"/>
      <c r="Q26" s="214"/>
      <c r="R26" s="214"/>
      <c r="S26" s="214"/>
      <c r="T26" s="214"/>
      <c r="W26" s="69"/>
    </row>
    <row r="27" spans="1:23" ht="15" customHeight="1" x14ac:dyDescent="0.25">
      <c r="A27" s="20"/>
      <c r="B27" s="27"/>
      <c r="C27" s="71" t="str">
        <f>IF(Nabídka!C27&lt;&gt;"",Nabídka!C27,"")</f>
        <v>SEO audit orliklake.cz</v>
      </c>
      <c r="D27" s="44" t="str">
        <f>IF(Nabídka!D27&lt;&gt;"",Nabídka!D27,"")</f>
        <v>hodina</v>
      </c>
      <c r="E27" s="44">
        <f>IF(Nabídka!E27&lt;&gt;"",Nabídka!E27,"")</f>
        <v>9</v>
      </c>
      <c r="F27" s="124">
        <f>IF(Nabídka!F27&lt;&gt;"",Nabídka!F27,"")</f>
        <v>625</v>
      </c>
      <c r="G27" s="124">
        <f>IF(AND((Nabídka!C27&lt;&gt;""),(Nabídka!D27&lt;&gt;""),(Nabídka!E27&lt;&gt;""),(Nabídka!F27&lt;&gt;"")),(Nabídka!E27*Nabídka!F27),"")</f>
        <v>5625</v>
      </c>
      <c r="H27" s="46"/>
      <c r="I27" s="20"/>
      <c r="M27" s="7"/>
      <c r="O27" s="214"/>
      <c r="P27" s="214"/>
      <c r="Q27" s="214"/>
      <c r="R27" s="214"/>
      <c r="S27" s="214"/>
      <c r="T27" s="214"/>
      <c r="W27" s="69"/>
    </row>
    <row r="28" spans="1:23" ht="15" customHeight="1" x14ac:dyDescent="0.25">
      <c r="A28" s="20"/>
      <c r="B28" s="27"/>
      <c r="C28" s="71" t="str">
        <f>IF(Nabídka!C28&lt;&gt;"",Nabídka!C28,"")</f>
        <v>Zapojování datových zásuvek - Hotel WE, PVA Letňany</v>
      </c>
      <c r="D28" s="44" t="str">
        <f>IF(Nabídka!D28&lt;&gt;"",Nabídka!D28,"")</f>
        <v>hodina</v>
      </c>
      <c r="E28" s="44">
        <f>IF(Nabídka!E28&lt;&gt;"",Nabídka!E28,"")</f>
        <v>23</v>
      </c>
      <c r="F28" s="124">
        <f>IF(Nabídka!F28&lt;&gt;"",Nabídka!F28,"")</f>
        <v>625</v>
      </c>
      <c r="G28" s="124">
        <f>IF(AND((Nabídka!C28&lt;&gt;""),(Nabídka!D28&lt;&gt;""),(Nabídka!E28&lt;&gt;""),(Nabídka!F28&lt;&gt;"")),(Nabídka!E28*Nabídka!F28),"")</f>
        <v>14375</v>
      </c>
      <c r="H28" s="46"/>
      <c r="I28" s="20"/>
      <c r="M28" s="7"/>
      <c r="O28" s="214"/>
      <c r="P28" s="214"/>
      <c r="Q28" s="214"/>
      <c r="R28" s="214"/>
      <c r="S28" s="214"/>
      <c r="T28" s="214"/>
      <c r="W28" s="69"/>
    </row>
    <row r="29" spans="1:23" ht="15" customHeight="1" x14ac:dyDescent="0.25">
      <c r="A29" s="20"/>
      <c r="B29" s="27"/>
      <c r="C29" s="71" t="str">
        <f>IF(Nabídka!C29&lt;&gt;"",Nabídka!C29,"")</f>
        <v/>
      </c>
      <c r="D29" s="44" t="str">
        <f>IF(Nabídka!D29&lt;&gt;"",Nabídka!D29,"")</f>
        <v/>
      </c>
      <c r="E29" s="44" t="str">
        <f>IF(Nabídka!E29&lt;&gt;"",Nabídka!E29,"")</f>
        <v/>
      </c>
      <c r="F29" s="124" t="str">
        <f>IF(Nabídka!F29&lt;&gt;"",Nabídka!F29,"")</f>
        <v/>
      </c>
      <c r="G29" s="124" t="str">
        <f>IF(AND((Nabídka!C29&lt;&gt;""),(Nabídka!D29&lt;&gt;""),(Nabídka!E29&lt;&gt;""),(Nabídka!F29&lt;&gt;"")),(Nabídka!E29*Nabídka!F29),"")</f>
        <v/>
      </c>
      <c r="H29" s="46"/>
      <c r="I29" s="20"/>
      <c r="M29" s="7"/>
      <c r="O29" s="214"/>
      <c r="P29" s="214"/>
      <c r="Q29" s="214"/>
      <c r="R29" s="214"/>
      <c r="S29" s="214"/>
      <c r="T29" s="214"/>
      <c r="W29" s="69"/>
    </row>
    <row r="30" spans="1:23" ht="15" customHeight="1" x14ac:dyDescent="0.25">
      <c r="A30" s="20"/>
      <c r="B30" s="27"/>
      <c r="C30" s="71" t="str">
        <f>IF(Nabídka!C30&lt;&gt;"",Nabídka!C30,"")</f>
        <v/>
      </c>
      <c r="D30" s="44" t="str">
        <f>IF(Nabídka!D30&lt;&gt;"",Nabídka!D30,"")</f>
        <v/>
      </c>
      <c r="E30" s="44" t="str">
        <f>IF(Nabídka!E30&lt;&gt;"",Nabídka!E30,"")</f>
        <v/>
      </c>
      <c r="F30" s="124" t="str">
        <f>IF(Nabídka!F30&lt;&gt;"",Nabídka!F30,"")</f>
        <v/>
      </c>
      <c r="G30" s="124" t="str">
        <f>IF(AND((Nabídka!C30&lt;&gt;""),(Nabídka!D30&lt;&gt;""),(Nabídka!E30&lt;&gt;""),(Nabídka!F30&lt;&gt;"")),(Nabídka!E30*Nabídka!F30),"")</f>
        <v/>
      </c>
      <c r="H30" s="46"/>
      <c r="I30" s="20"/>
      <c r="M30" s="7"/>
      <c r="O30" s="214"/>
      <c r="P30" s="214"/>
      <c r="Q30" s="214"/>
      <c r="R30" s="214"/>
      <c r="S30" s="214"/>
      <c r="T30" s="214"/>
      <c r="W30" s="69"/>
    </row>
    <row r="31" spans="1:23" ht="15" customHeight="1" x14ac:dyDescent="0.25">
      <c r="A31" s="20"/>
      <c r="B31" s="27"/>
      <c r="C31" s="71" t="str">
        <f>IF(Nabídka!C31&lt;&gt;"",Nabídka!C31,"")</f>
        <v/>
      </c>
      <c r="D31" s="44" t="str">
        <f>IF(Nabídka!D31&lt;&gt;"",Nabídka!D31,"")</f>
        <v/>
      </c>
      <c r="E31" s="44" t="str">
        <f>IF(Nabídka!E31&lt;&gt;"",Nabídka!E31,"")</f>
        <v/>
      </c>
      <c r="F31" s="124" t="str">
        <f>IF(Nabídka!F31&lt;&gt;"",Nabídka!F31,"")</f>
        <v/>
      </c>
      <c r="G31" s="124" t="str">
        <f>IF(AND((Nabídka!C31&lt;&gt;""),(Nabídka!D31&lt;&gt;""),(Nabídka!E31&lt;&gt;""),(Nabídka!F31&lt;&gt;"")),(Nabídka!E31*Nabídka!F31),"")</f>
        <v/>
      </c>
      <c r="H31" s="46"/>
      <c r="I31" s="20"/>
      <c r="L31" s="76"/>
      <c r="M31" s="76"/>
      <c r="N31" s="76"/>
      <c r="O31" s="214"/>
      <c r="P31" s="214"/>
      <c r="Q31" s="214"/>
      <c r="R31" s="214"/>
      <c r="S31" s="214"/>
      <c r="T31" s="214"/>
      <c r="W31" s="69"/>
    </row>
    <row r="32" spans="1:23" ht="15" customHeight="1" x14ac:dyDescent="0.25">
      <c r="A32" s="20"/>
      <c r="B32" s="27"/>
      <c r="C32" s="71" t="str">
        <f>IF(Nabídka!C32&lt;&gt;"",Nabídka!C32,"")</f>
        <v/>
      </c>
      <c r="D32" s="44" t="str">
        <f>IF(Nabídka!D32&lt;&gt;"",Nabídka!D32,"")</f>
        <v/>
      </c>
      <c r="E32" s="44" t="str">
        <f>IF(Nabídka!E32&lt;&gt;"",Nabídka!E32,"")</f>
        <v/>
      </c>
      <c r="F32" s="124" t="str">
        <f>IF(Nabídka!F32&lt;&gt;"",Nabídka!F32,"")</f>
        <v/>
      </c>
      <c r="G32" s="124" t="str">
        <f>IF(AND((Nabídka!C32&lt;&gt;""),(Nabídka!D32&lt;&gt;""),(Nabídka!E32&lt;&gt;""),(Nabídka!F32&lt;&gt;"")),(Nabídka!E32*Nabídka!F32),"")</f>
        <v/>
      </c>
      <c r="H32" s="46"/>
      <c r="I32" s="20"/>
      <c r="L32" s="76"/>
      <c r="M32" s="76"/>
      <c r="N32" s="76"/>
      <c r="O32" s="214"/>
      <c r="P32" s="214"/>
      <c r="Q32" s="214"/>
      <c r="R32" s="214"/>
      <c r="S32" s="214"/>
      <c r="T32" s="214"/>
      <c r="W32" s="69"/>
    </row>
    <row r="33" spans="1:23" ht="15" customHeight="1" x14ac:dyDescent="0.25">
      <c r="A33" s="20"/>
      <c r="B33" s="27"/>
      <c r="C33" s="71" t="str">
        <f>IF(Nabídka!C33&lt;&gt;"",Nabídka!C33,"")</f>
        <v/>
      </c>
      <c r="D33" s="44" t="str">
        <f>IF(Nabídka!D33&lt;&gt;"",Nabídka!D33,"")</f>
        <v/>
      </c>
      <c r="E33" s="44" t="str">
        <f>IF(Nabídka!E33&lt;&gt;"",Nabídka!E33,"")</f>
        <v/>
      </c>
      <c r="F33" s="124" t="str">
        <f>IF(Nabídka!F33&lt;&gt;"",Nabídka!F33,"")</f>
        <v/>
      </c>
      <c r="G33" s="124" t="str">
        <f>IF(AND((Nabídka!C33&lt;&gt;""),(Nabídka!D33&lt;&gt;""),(Nabídka!E33&lt;&gt;""),(Nabídka!F33&lt;&gt;"")),(Nabídka!E33*Nabídka!F33),"")</f>
        <v/>
      </c>
      <c r="H33" s="46"/>
      <c r="I33" s="20"/>
      <c r="L33" s="76"/>
      <c r="M33" s="76"/>
      <c r="N33" s="76"/>
      <c r="O33" s="214"/>
      <c r="P33" s="214"/>
      <c r="Q33" s="214"/>
      <c r="R33" s="214"/>
      <c r="S33" s="214"/>
      <c r="T33" s="214"/>
      <c r="W33" s="69"/>
    </row>
    <row r="34" spans="1:23" ht="15" customHeight="1" x14ac:dyDescent="0.25">
      <c r="A34" s="20"/>
      <c r="B34" s="27"/>
      <c r="C34" s="71" t="str">
        <f>IF(Nabídka!C34&lt;&gt;"",Nabídka!C34,"")</f>
        <v/>
      </c>
      <c r="D34" s="44" t="str">
        <f>IF(Nabídka!D34&lt;&gt;"",Nabídka!D34,"")</f>
        <v/>
      </c>
      <c r="E34" s="44" t="str">
        <f>IF(Nabídka!E34&lt;&gt;"",Nabídka!E34,"")</f>
        <v/>
      </c>
      <c r="F34" s="124" t="str">
        <f>IF(Nabídka!F34&lt;&gt;"",Nabídka!F34,"")</f>
        <v/>
      </c>
      <c r="G34" s="124" t="str">
        <f>IF(AND((Nabídka!C34&lt;&gt;""),(Nabídka!D34&lt;&gt;""),(Nabídka!E34&lt;&gt;""),(Nabídka!F34&lt;&gt;"")),(Nabídka!E34*Nabídka!F34),"")</f>
        <v/>
      </c>
      <c r="H34" s="46"/>
      <c r="I34" s="20"/>
      <c r="L34" s="76"/>
      <c r="M34" s="76"/>
      <c r="N34" s="76"/>
      <c r="O34" s="76"/>
      <c r="P34" s="76"/>
      <c r="Q34" s="76"/>
      <c r="R34" s="76"/>
      <c r="S34" s="76"/>
      <c r="T34" s="76"/>
      <c r="W34" s="69"/>
    </row>
    <row r="35" spans="1:23" ht="15" customHeight="1" x14ac:dyDescent="0.25">
      <c r="A35" s="20"/>
      <c r="B35" s="27"/>
      <c r="C35" s="71" t="str">
        <f>IF(Nabídka!C35&lt;&gt;"",Nabídka!C35,"")</f>
        <v/>
      </c>
      <c r="D35" s="44" t="str">
        <f>IF(Nabídka!D35&lt;&gt;"",Nabídka!D35,"")</f>
        <v/>
      </c>
      <c r="E35" s="44" t="str">
        <f>IF(Nabídka!E35&lt;&gt;"",Nabídka!E35,"")</f>
        <v/>
      </c>
      <c r="F35" s="124" t="str">
        <f>IF(Nabídka!F35&lt;&gt;"",Nabídka!F35,"")</f>
        <v/>
      </c>
      <c r="G35" s="124" t="str">
        <f>IF(AND((Nabídka!C35&lt;&gt;""),(Nabídka!D35&lt;&gt;""),(Nabídka!E35&lt;&gt;""),(Nabídka!F35&lt;&gt;"")),(Nabídka!E35*Nabídka!F35),"")</f>
        <v/>
      </c>
      <c r="H35" s="46"/>
      <c r="I35" s="20"/>
      <c r="L35" s="76"/>
      <c r="M35" s="76"/>
      <c r="N35" s="76"/>
      <c r="O35" s="76"/>
      <c r="P35" s="76"/>
      <c r="Q35" s="76"/>
      <c r="R35" s="76"/>
      <c r="S35" s="76"/>
      <c r="T35" s="76"/>
      <c r="W35" s="69"/>
    </row>
    <row r="36" spans="1:23" ht="15" customHeight="1" x14ac:dyDescent="0.25">
      <c r="A36" s="20"/>
      <c r="B36" s="27"/>
      <c r="C36" s="71" t="str">
        <f>IF(Nabídka!C36&lt;&gt;"",Nabídka!C36,"")</f>
        <v/>
      </c>
      <c r="D36" s="44" t="str">
        <f>IF(Nabídka!D36&lt;&gt;"",Nabídka!D36,"")</f>
        <v/>
      </c>
      <c r="E36" s="44" t="str">
        <f>IF(Nabídka!E36&lt;&gt;"",Nabídka!E36,"")</f>
        <v/>
      </c>
      <c r="F36" s="124" t="str">
        <f>IF(Nabídka!F36&lt;&gt;"",Nabídka!F36,"")</f>
        <v/>
      </c>
      <c r="G36" s="124" t="str">
        <f>IF(AND((Nabídka!C36&lt;&gt;""),(Nabídka!D36&lt;&gt;""),(Nabídka!E36&lt;&gt;""),(Nabídka!F36&lt;&gt;"")),(Nabídka!E36*Nabídka!F36),"")</f>
        <v/>
      </c>
      <c r="H36" s="46"/>
      <c r="I36" s="20"/>
      <c r="L36" s="76"/>
      <c r="M36" s="76"/>
      <c r="N36" s="76"/>
      <c r="O36" s="76"/>
      <c r="P36" s="76"/>
      <c r="Q36" s="76"/>
      <c r="R36" s="76"/>
      <c r="S36" s="76"/>
      <c r="T36" s="76"/>
      <c r="W36" s="69"/>
    </row>
    <row r="37" spans="1:23" ht="15" customHeight="1" x14ac:dyDescent="0.25">
      <c r="A37" s="20"/>
      <c r="B37" s="27"/>
      <c r="C37" s="71" t="str">
        <f>IF(Nabídka!C37&lt;&gt;"",Nabídka!C37,"")</f>
        <v/>
      </c>
      <c r="D37" s="44" t="str">
        <f>IF(Nabídka!D37&lt;&gt;"",Nabídka!D37,"")</f>
        <v/>
      </c>
      <c r="E37" s="44" t="str">
        <f>IF(Nabídka!E37&lt;&gt;"",Nabídka!E37,"")</f>
        <v/>
      </c>
      <c r="F37" s="124" t="str">
        <f>IF(Nabídka!F37&lt;&gt;"",Nabídka!F37,"")</f>
        <v/>
      </c>
      <c r="G37" s="124" t="str">
        <f>IF(AND((Nabídka!C37&lt;&gt;""),(Nabídka!D37&lt;&gt;""),(Nabídka!E37&lt;&gt;""),(Nabídka!F37&lt;&gt;"")),(Nabídka!E37*Nabídka!F37),"")</f>
        <v/>
      </c>
      <c r="H37" s="46"/>
      <c r="I37" s="20"/>
      <c r="L37" s="76"/>
      <c r="M37" s="76"/>
      <c r="N37" s="76"/>
      <c r="O37" s="76"/>
      <c r="P37" s="76"/>
      <c r="Q37" s="76"/>
      <c r="R37" s="76"/>
      <c r="S37" s="76"/>
      <c r="T37" s="76"/>
      <c r="W37" s="69"/>
    </row>
    <row r="38" spans="1:23" ht="15" customHeight="1" x14ac:dyDescent="0.25">
      <c r="A38" s="20"/>
      <c r="B38" s="27"/>
      <c r="C38" s="71" t="str">
        <f>IF(Nabídka!C38&lt;&gt;"",Nabídka!C38,"")</f>
        <v/>
      </c>
      <c r="D38" s="44" t="str">
        <f>IF(Nabídka!D38&lt;&gt;"",Nabídka!D38,"")</f>
        <v/>
      </c>
      <c r="E38" s="44" t="str">
        <f>IF(Nabídka!E38&lt;&gt;"",Nabídka!E38,"")</f>
        <v/>
      </c>
      <c r="F38" s="124" t="str">
        <f>IF(Nabídka!F38&lt;&gt;"",Nabídka!F38,"")</f>
        <v/>
      </c>
      <c r="G38" s="124" t="str">
        <f>IF(AND((Nabídka!C38&lt;&gt;""),(Nabídka!D38&lt;&gt;""),(Nabídka!E38&lt;&gt;""),(Nabídka!F38&lt;&gt;"")),(Nabídka!E38*Nabídka!F38),"")</f>
        <v/>
      </c>
      <c r="H38" s="46"/>
      <c r="I38" s="20"/>
      <c r="L38" s="76"/>
      <c r="M38" s="76"/>
      <c r="N38" s="76"/>
      <c r="O38" s="76"/>
      <c r="P38" s="76"/>
      <c r="Q38" s="76"/>
      <c r="R38" s="76"/>
      <c r="S38" s="76"/>
      <c r="T38" s="76"/>
      <c r="W38" s="69"/>
    </row>
    <row r="39" spans="1:23" ht="15" customHeight="1" x14ac:dyDescent="0.25">
      <c r="A39" s="20"/>
      <c r="B39" s="27"/>
      <c r="C39" s="71" t="str">
        <f>IF(Nabídka!C39&lt;&gt;"",Nabídka!C39,"")</f>
        <v/>
      </c>
      <c r="D39" s="44" t="str">
        <f>IF(Nabídka!D39&lt;&gt;"",Nabídka!D39,"")</f>
        <v/>
      </c>
      <c r="E39" s="44" t="str">
        <f>IF(Nabídka!E39&lt;&gt;"",Nabídka!E39,"")</f>
        <v/>
      </c>
      <c r="F39" s="124" t="str">
        <f>IF(Nabídka!F39&lt;&gt;"",Nabídka!F39,"")</f>
        <v/>
      </c>
      <c r="G39" s="124" t="str">
        <f>IF(AND((Nabídka!C39&lt;&gt;""),(Nabídka!D39&lt;&gt;""),(Nabídka!E39&lt;&gt;""),(Nabídka!F39&lt;&gt;"")),(Nabídka!E39*Nabídka!F39),"")</f>
        <v/>
      </c>
      <c r="H39" s="46"/>
      <c r="I39" s="20"/>
      <c r="M39" s="7"/>
      <c r="W39" s="69"/>
    </row>
    <row r="40" spans="1:23" ht="15" customHeight="1" x14ac:dyDescent="0.25">
      <c r="A40" s="20"/>
      <c r="B40" s="27"/>
      <c r="C40" s="71" t="str">
        <f>IF(Nabídka!C40&lt;&gt;"",Nabídka!C40,"")</f>
        <v/>
      </c>
      <c r="D40" s="44" t="str">
        <f>IF(Nabídka!D40&lt;&gt;"",Nabídka!D40,"")</f>
        <v/>
      </c>
      <c r="E40" s="44" t="str">
        <f>IF(Nabídka!E40&lt;&gt;"",Nabídka!E40,"")</f>
        <v/>
      </c>
      <c r="F40" s="124" t="str">
        <f>IF(Nabídka!F40&lt;&gt;"",Nabídka!F40,"")</f>
        <v/>
      </c>
      <c r="G40" s="124" t="str">
        <f>IF(AND((Nabídka!C40&lt;&gt;""),(Nabídka!D40&lt;&gt;""),(Nabídka!E40&lt;&gt;""),(Nabídka!F40&lt;&gt;"")),(Nabídka!E40*Nabídka!F40),"")</f>
        <v/>
      </c>
      <c r="H40" s="46"/>
      <c r="I40" s="20"/>
      <c r="L40" s="17"/>
      <c r="W40" s="69"/>
    </row>
    <row r="41" spans="1:23" ht="15" customHeight="1" x14ac:dyDescent="0.25">
      <c r="A41" s="20"/>
      <c r="B41" s="27"/>
      <c r="C41" s="71" t="str">
        <f>IF(Nabídka!C41&lt;&gt;"",Nabídka!C41,"")</f>
        <v/>
      </c>
      <c r="D41" s="44" t="str">
        <f>IF(Nabídka!D41&lt;&gt;"",Nabídka!D41,"")</f>
        <v/>
      </c>
      <c r="E41" s="44" t="str">
        <f>IF(Nabídka!E41&lt;&gt;"",Nabídka!E41,"")</f>
        <v/>
      </c>
      <c r="F41" s="124" t="str">
        <f>IF(Nabídka!F41&lt;&gt;"",Nabídka!F41,"")</f>
        <v/>
      </c>
      <c r="G41" s="124" t="str">
        <f>IF(AND((Nabídka!C41&lt;&gt;""),(Nabídka!D41&lt;&gt;""),(Nabídka!E41&lt;&gt;""),(Nabídka!F41&lt;&gt;"")),(Nabídka!E41*Nabídka!F41),"")</f>
        <v/>
      </c>
      <c r="H41" s="46"/>
      <c r="I41" s="20"/>
      <c r="W41" s="69"/>
    </row>
    <row r="42" spans="1:23" ht="15" customHeight="1" x14ac:dyDescent="0.25">
      <c r="A42" s="20"/>
      <c r="B42" s="27"/>
      <c r="C42" s="71" t="str">
        <f>IF(Nabídka!C42&lt;&gt;"",Nabídka!C42,"")</f>
        <v/>
      </c>
      <c r="D42" s="44" t="str">
        <f>IF(Nabídka!D42&lt;&gt;"",Nabídka!D42,"")</f>
        <v/>
      </c>
      <c r="E42" s="44" t="str">
        <f>IF(Nabídka!E42&lt;&gt;"",Nabídka!E42,"")</f>
        <v/>
      </c>
      <c r="F42" s="124" t="str">
        <f>IF(Nabídka!F42&lt;&gt;"",Nabídka!F42,"")</f>
        <v/>
      </c>
      <c r="G42" s="124" t="str">
        <f>IF(AND((Nabídka!C42&lt;&gt;""),(Nabídka!D42&lt;&gt;""),(Nabídka!E42&lt;&gt;""),(Nabídka!F42&lt;&gt;"")),(Nabídka!E42*Nabídka!F42),"")</f>
        <v/>
      </c>
      <c r="H42" s="47"/>
      <c r="I42" s="20"/>
      <c r="W42" s="69"/>
    </row>
    <row r="43" spans="1:23" ht="15" customHeight="1" thickBot="1" x14ac:dyDescent="0.3">
      <c r="A43" s="20"/>
      <c r="B43" s="27"/>
      <c r="C43" s="20"/>
      <c r="D43" s="20"/>
      <c r="E43" s="215" t="s">
        <v>11</v>
      </c>
      <c r="F43" s="216"/>
      <c r="G43" s="125">
        <f>SUM(Nabídka!G20:'Nabídka'!G42)</f>
        <v>120000</v>
      </c>
      <c r="H43" s="46"/>
      <c r="I43" s="20"/>
      <c r="L43" s="10"/>
      <c r="W43" s="69"/>
    </row>
    <row r="44" spans="1:23" ht="15" customHeight="1" x14ac:dyDescent="0.25">
      <c r="A44" s="20"/>
      <c r="B44" s="27"/>
      <c r="C44" s="20"/>
      <c r="D44" s="20"/>
      <c r="E44" s="48"/>
      <c r="F44" s="48"/>
      <c r="G44" s="49"/>
      <c r="H44" s="46"/>
      <c r="I44" s="20"/>
      <c r="M44" s="7"/>
      <c r="W44" s="69"/>
    </row>
    <row r="45" spans="1:23" ht="15" customHeight="1" x14ac:dyDescent="0.25">
      <c r="A45" s="20"/>
      <c r="B45" s="27"/>
      <c r="C45" s="20"/>
      <c r="D45" s="20"/>
      <c r="E45" s="43"/>
      <c r="F45" s="50"/>
      <c r="G45" s="50"/>
      <c r="H45" s="46"/>
      <c r="I45" s="20"/>
      <c r="M45" s="7"/>
      <c r="W45" s="69"/>
    </row>
    <row r="46" spans="1:23" ht="15" customHeight="1" x14ac:dyDescent="0.25">
      <c r="A46" s="20"/>
      <c r="B46" s="27"/>
      <c r="C46" s="20" t="s">
        <v>12</v>
      </c>
      <c r="D46" s="44" t="s">
        <v>7</v>
      </c>
      <c r="E46" s="38" t="s">
        <v>8</v>
      </c>
      <c r="F46" s="45" t="s">
        <v>10</v>
      </c>
      <c r="G46" s="45" t="s">
        <v>9</v>
      </c>
      <c r="H46" s="46"/>
      <c r="I46" s="20"/>
      <c r="L46" s="11"/>
      <c r="M46" s="7"/>
      <c r="W46" s="69"/>
    </row>
    <row r="47" spans="1:23" ht="15" customHeight="1" x14ac:dyDescent="0.25">
      <c r="A47" s="20"/>
      <c r="B47" s="27"/>
      <c r="C47" s="20" t="str">
        <f>IF(Nabídka!C47&lt;&gt;"",Nabídka!C47,"")</f>
        <v>Spojovací materiál pro montáž datových zásuvek - OBI - 20250814</v>
      </c>
      <c r="D47" s="44" t="str">
        <f>IF(Nabídka!D47&lt;&gt;"",Nabídka!D47,"")</f>
        <v>Faktura</v>
      </c>
      <c r="E47" s="44">
        <f>IF(Nabídka!E47&lt;&gt;"",Nabídka!E47,"")</f>
        <v>1</v>
      </c>
      <c r="F47" s="124">
        <f>IF(Nabídka!F47&lt;&gt;"",Nabídka!F47,"")</f>
        <v>508</v>
      </c>
      <c r="G47" s="124">
        <f>IF(AND((Nabídka!C47&lt;&gt;""),(Nabídka!D47&lt;&gt;""),(Nabídka!E47&lt;&gt;""),(Nabídka!F47&lt;&gt;"")),(Nabídka!E47*Nabídka!F47),"")</f>
        <v>508</v>
      </c>
      <c r="H47" s="46"/>
      <c r="I47" s="20"/>
      <c r="L47" s="10"/>
      <c r="M47" s="7"/>
      <c r="W47" s="69"/>
    </row>
    <row r="48" spans="1:23" ht="15" customHeight="1" x14ac:dyDescent="0.25">
      <c r="A48" s="20"/>
      <c r="B48" s="27"/>
      <c r="C48" s="20" t="str">
        <f>IF(Nabídka!C48&lt;&gt;"",Nabídka!C48,"")</f>
        <v>Spojovací materiál - vruty do dřevotřísky - OBI - 20250815</v>
      </c>
      <c r="D48" s="44" t="str">
        <f>IF(Nabídka!D48&lt;&gt;"",Nabídka!D48,"")</f>
        <v>Faktura</v>
      </c>
      <c r="E48" s="44">
        <f>IF(Nabídka!E48&lt;&gt;"",Nabídka!E48,"")</f>
        <v>1</v>
      </c>
      <c r="F48" s="124">
        <f>IF(Nabídka!F48&lt;&gt;"",Nabídka!F48,"")</f>
        <v>29.88</v>
      </c>
      <c r="G48" s="124">
        <f>IF(AND((Nabídka!C48&lt;&gt;""),(Nabídka!D48&lt;&gt;""),(Nabídka!E48&lt;&gt;""),(Nabídka!F48&lt;&gt;"")),(Nabídka!E48*Nabídka!F48),"")</f>
        <v>29.88</v>
      </c>
      <c r="H48" s="46"/>
      <c r="I48" s="20"/>
      <c r="W48" s="69"/>
    </row>
    <row r="49" spans="1:81" ht="15" customHeight="1" x14ac:dyDescent="0.25">
      <c r="A49" s="20"/>
      <c r="B49" s="27"/>
      <c r="C49" s="20" t="str">
        <f>IF(Nabídka!C49&lt;&gt;"",Nabídka!C49,"")</f>
        <v/>
      </c>
      <c r="D49" s="44" t="str">
        <f>IF(Nabídka!D49&lt;&gt;"",Nabídka!D49,"")</f>
        <v/>
      </c>
      <c r="E49" s="44" t="str">
        <f>IF(Nabídka!E49&lt;&gt;"",Nabídka!E49,"")</f>
        <v/>
      </c>
      <c r="F49" s="124" t="str">
        <f>IF(Nabídka!F49&lt;&gt;"",Nabídka!F49,"")</f>
        <v/>
      </c>
      <c r="G49" s="124" t="str">
        <f>IF(AND((Nabídka!C49&lt;&gt;""),(Nabídka!D49&lt;&gt;""),(Nabídka!E49&lt;&gt;""),(Nabídka!F49&lt;&gt;"")),(Nabídka!E49*Nabídka!F49),"")</f>
        <v/>
      </c>
      <c r="H49" s="46"/>
      <c r="I49" s="20"/>
      <c r="W49" s="69"/>
    </row>
    <row r="50" spans="1:81" ht="15" customHeight="1" x14ac:dyDescent="0.25">
      <c r="A50" s="20"/>
      <c r="B50" s="27"/>
      <c r="C50" s="20" t="str">
        <f>IF(Nabídka!C50&lt;&gt;"",Nabídka!C50,"")</f>
        <v/>
      </c>
      <c r="D50" s="44" t="str">
        <f>IF(Nabídka!D50&lt;&gt;"",Nabídka!D50,"")</f>
        <v/>
      </c>
      <c r="E50" s="44" t="str">
        <f>IF(Nabídka!E50&lt;&gt;"",Nabídka!E50,"")</f>
        <v/>
      </c>
      <c r="F50" s="124" t="str">
        <f>IF(Nabídka!F50&lt;&gt;"",Nabídka!F50,"")</f>
        <v/>
      </c>
      <c r="G50" s="124" t="str">
        <f>IF(AND((Nabídka!C50&lt;&gt;""),(Nabídka!D50&lt;&gt;""),(Nabídka!E50&lt;&gt;""),(Nabídka!F50&lt;&gt;"")),(Nabídka!E50*Nabídka!F50),"")</f>
        <v/>
      </c>
      <c r="H50" s="46"/>
      <c r="I50" s="20"/>
      <c r="L50" s="17"/>
      <c r="W50" s="69"/>
    </row>
    <row r="51" spans="1:81" ht="15" customHeight="1" x14ac:dyDescent="0.25">
      <c r="A51" s="20"/>
      <c r="B51" s="27"/>
      <c r="C51" s="20" t="str">
        <f>IF(Nabídka!C51&lt;&gt;"",Nabídka!C51,"")</f>
        <v/>
      </c>
      <c r="D51" s="44" t="str">
        <f>IF(Nabídka!D51&lt;&gt;"",Nabídka!D51,"")</f>
        <v/>
      </c>
      <c r="E51" s="44" t="str">
        <f>IF(Nabídka!E51&lt;&gt;"",Nabídka!E51,"")</f>
        <v/>
      </c>
      <c r="F51" s="124" t="str">
        <f>IF(Nabídka!F51&lt;&gt;"",Nabídka!F51,"")</f>
        <v/>
      </c>
      <c r="G51" s="124" t="str">
        <f>IF(AND((Nabídka!C51&lt;&gt;""),(Nabídka!D51&lt;&gt;""),(Nabídka!E51&lt;&gt;""),(Nabídka!F51&lt;&gt;"")),(Nabídka!E51*Nabídka!F51),"")</f>
        <v/>
      </c>
      <c r="H51" s="46"/>
      <c r="I51" s="20"/>
    </row>
    <row r="52" spans="1:81" ht="15" customHeight="1" x14ac:dyDescent="0.25">
      <c r="A52" s="20"/>
      <c r="B52" s="27"/>
      <c r="C52" s="20" t="str">
        <f>IF(Nabídka!C52&lt;&gt;"",Nabídka!C52,"")</f>
        <v/>
      </c>
      <c r="D52" s="44" t="str">
        <f>IF(Nabídka!D52&lt;&gt;"",Nabídka!D52,"")</f>
        <v/>
      </c>
      <c r="E52" s="44" t="str">
        <f>IF(Nabídka!E52&lt;&gt;"",Nabídka!E52,"")</f>
        <v/>
      </c>
      <c r="F52" s="124" t="str">
        <f>IF(Nabídka!F52&lt;&gt;"",Nabídka!F52,"")</f>
        <v/>
      </c>
      <c r="G52" s="124" t="str">
        <f>IF(AND((Nabídka!C52&lt;&gt;""),(Nabídka!D52&lt;&gt;""),(Nabídka!E52&lt;&gt;""),(Nabídka!F52&lt;&gt;"")),(Nabídka!E52*Nabídka!F52),"")</f>
        <v/>
      </c>
      <c r="H52" s="47"/>
      <c r="I52" s="20"/>
    </row>
    <row r="53" spans="1:81" ht="15" customHeight="1" thickBot="1" x14ac:dyDescent="0.3">
      <c r="A53" s="20"/>
      <c r="B53" s="27"/>
      <c r="C53" s="20"/>
      <c r="D53" s="20"/>
      <c r="E53" s="162" t="s">
        <v>25</v>
      </c>
      <c r="F53" s="163"/>
      <c r="G53" s="126">
        <f>SUM(Nabídka!G47:'Nabídka'!G52)</f>
        <v>537.88</v>
      </c>
      <c r="H53" s="47"/>
      <c r="I53" s="20"/>
    </row>
    <row r="54" spans="1:81" ht="15" customHeight="1" x14ac:dyDescent="0.25">
      <c r="A54" s="20"/>
      <c r="B54" s="27"/>
      <c r="C54" s="20"/>
      <c r="D54" s="37"/>
      <c r="E54" s="43"/>
      <c r="F54" s="51"/>
      <c r="G54" s="52"/>
      <c r="H54" s="47"/>
      <c r="I54" s="20"/>
      <c r="L54" s="74"/>
      <c r="M54" s="10"/>
    </row>
    <row r="55" spans="1:81" ht="15" customHeight="1" x14ac:dyDescent="0.25">
      <c r="A55" s="20"/>
      <c r="B55" s="27"/>
      <c r="C55" s="20"/>
      <c r="D55" s="20"/>
      <c r="E55" s="20"/>
      <c r="F55" s="20"/>
      <c r="G55" s="20"/>
      <c r="H55" s="47"/>
      <c r="I55" s="20"/>
      <c r="L55" s="74"/>
      <c r="M55" s="10"/>
    </row>
    <row r="56" spans="1:81" ht="15" customHeight="1" thickBot="1" x14ac:dyDescent="0.3">
      <c r="A56" s="20"/>
      <c r="B56" s="27"/>
      <c r="C56" s="37"/>
      <c r="D56" s="20"/>
      <c r="E56" s="23"/>
      <c r="F56" s="67"/>
      <c r="G56" s="72"/>
      <c r="H56" s="47"/>
      <c r="I56" s="20"/>
      <c r="J56" s="13"/>
      <c r="K56" s="13"/>
      <c r="L56" s="13"/>
      <c r="M56" s="13"/>
      <c r="N56" s="13"/>
      <c r="O56" s="13"/>
      <c r="P56" s="13"/>
      <c r="Q56" s="13"/>
      <c r="R56" s="13"/>
      <c r="S56" s="13"/>
    </row>
    <row r="57" spans="1:81" ht="15" customHeight="1" thickTop="1" x14ac:dyDescent="0.25">
      <c r="A57" s="20"/>
      <c r="B57" s="27"/>
      <c r="C57" s="20"/>
      <c r="D57" s="20"/>
      <c r="E57" s="77"/>
      <c r="F57" s="138" t="s">
        <v>14</v>
      </c>
      <c r="G57" s="127">
        <f>Nabídka!G56</f>
        <v>120537.88</v>
      </c>
      <c r="H57" s="47"/>
      <c r="I57" s="20"/>
      <c r="J57" s="13"/>
      <c r="K57" s="13"/>
      <c r="L57" s="62"/>
      <c r="M57" s="62"/>
      <c r="N57" s="62"/>
      <c r="O57" s="62"/>
      <c r="P57" s="62"/>
      <c r="Q57" s="62"/>
      <c r="R57" s="62"/>
      <c r="S57" s="62"/>
    </row>
    <row r="58" spans="1:81" ht="15" customHeight="1" thickBot="1" x14ac:dyDescent="0.3">
      <c r="A58" s="20"/>
      <c r="B58" s="27"/>
      <c r="C58" s="20"/>
      <c r="D58" s="20"/>
      <c r="E58" s="78"/>
      <c r="F58" s="139" t="str">
        <f>Nabídka!F57</f>
        <v>Celkem s DPH 0% ( Kč):</v>
      </c>
      <c r="G58" s="129">
        <f>Nabídka!G57</f>
        <v>120537.88</v>
      </c>
      <c r="H58" s="79"/>
      <c r="I58" s="80"/>
      <c r="J58" s="81"/>
      <c r="K58" s="81"/>
      <c r="L58" s="62"/>
      <c r="M58" s="62"/>
      <c r="N58" s="62"/>
      <c r="O58" s="62"/>
      <c r="P58" s="62"/>
      <c r="Q58" s="62"/>
      <c r="R58" s="62"/>
      <c r="S58" s="6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</row>
    <row r="59" spans="1:81" ht="15" customHeight="1" thickTop="1" x14ac:dyDescent="0.25">
      <c r="A59" s="20"/>
      <c r="B59" s="27"/>
      <c r="C59" s="20"/>
      <c r="D59" s="20"/>
      <c r="E59" s="23"/>
      <c r="F59" s="67"/>
      <c r="G59" s="68" t="s">
        <v>36</v>
      </c>
      <c r="H59" s="79"/>
      <c r="I59" s="80"/>
      <c r="J59" s="81"/>
      <c r="K59" s="81"/>
      <c r="L59" s="62"/>
      <c r="M59" s="62"/>
      <c r="N59" s="62"/>
      <c r="O59" s="62"/>
      <c r="P59" s="62"/>
      <c r="Q59" s="62"/>
      <c r="R59" s="62"/>
      <c r="S59" s="6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2"/>
      <c r="AW59" s="82"/>
      <c r="AX59" s="82"/>
      <c r="AY59" s="82"/>
      <c r="AZ59" s="82"/>
      <c r="BA59" s="82"/>
      <c r="BB59" s="82"/>
      <c r="BC59" s="82"/>
      <c r="BD59" s="82"/>
      <c r="BE59" s="82"/>
      <c r="BF59" s="82"/>
      <c r="BG59" s="82"/>
      <c r="BH59" s="82"/>
      <c r="BI59" s="82"/>
      <c r="BJ59" s="82"/>
      <c r="BK59" s="82"/>
      <c r="BL59" s="82"/>
      <c r="BM59" s="82"/>
      <c r="BN59" s="82"/>
      <c r="BO59" s="82"/>
      <c r="BP59" s="82"/>
      <c r="BQ59" s="82"/>
      <c r="BR59" s="82"/>
      <c r="BS59" s="82"/>
      <c r="BT59" s="82"/>
      <c r="BU59" s="82"/>
      <c r="BV59" s="82"/>
      <c r="BW59" s="82"/>
      <c r="BX59" s="82"/>
      <c r="BY59" s="82"/>
      <c r="BZ59" s="82"/>
      <c r="CA59" s="82"/>
      <c r="CB59" s="82"/>
      <c r="CC59" s="82"/>
    </row>
    <row r="60" spans="1:81" ht="15" customHeight="1" x14ac:dyDescent="0.25">
      <c r="A60" s="20"/>
      <c r="B60" s="27"/>
      <c r="C60" s="20"/>
      <c r="D60" s="20"/>
      <c r="E60" s="43"/>
      <c r="F60" s="50"/>
      <c r="G60" s="20"/>
      <c r="H60" s="79"/>
      <c r="I60" s="80"/>
      <c r="J60" s="81"/>
      <c r="K60" s="81"/>
      <c r="L60" s="62"/>
      <c r="M60" s="62"/>
      <c r="N60" s="62"/>
      <c r="O60" s="62"/>
      <c r="P60" s="62"/>
      <c r="Q60" s="62"/>
      <c r="R60" s="62"/>
      <c r="S60" s="6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</row>
    <row r="61" spans="1:81" ht="15" customHeight="1" x14ac:dyDescent="0.25">
      <c r="A61" s="20"/>
      <c r="B61" s="27"/>
      <c r="C61" s="80"/>
      <c r="D61" s="83"/>
      <c r="E61" s="80"/>
      <c r="F61" s="80"/>
      <c r="G61" s="80"/>
      <c r="H61" s="79"/>
      <c r="I61" s="80"/>
      <c r="J61" s="81"/>
      <c r="K61" s="81"/>
      <c r="L61" s="62"/>
      <c r="M61" s="62"/>
      <c r="N61" s="62"/>
      <c r="O61" s="62"/>
      <c r="P61" s="62"/>
      <c r="Q61" s="62"/>
      <c r="R61" s="62"/>
      <c r="S61" s="6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2"/>
      <c r="BS61" s="82"/>
      <c r="BT61" s="82"/>
      <c r="BU61" s="82"/>
      <c r="BV61" s="82"/>
      <c r="BW61" s="82"/>
      <c r="BX61" s="82"/>
      <c r="BY61" s="82"/>
      <c r="BZ61" s="82"/>
      <c r="CA61" s="82"/>
      <c r="CB61" s="82"/>
      <c r="CC61" s="82"/>
    </row>
    <row r="62" spans="1:81" ht="15" customHeight="1" x14ac:dyDescent="0.25">
      <c r="A62" s="20"/>
      <c r="B62" s="27"/>
      <c r="C62" s="80"/>
      <c r="D62" s="80"/>
      <c r="E62" s="80"/>
      <c r="F62" s="80"/>
      <c r="G62" s="80"/>
      <c r="H62" s="79"/>
      <c r="I62" s="80"/>
      <c r="J62" s="81"/>
      <c r="K62" s="81"/>
      <c r="L62" s="62"/>
      <c r="M62" s="62"/>
      <c r="N62" s="62"/>
      <c r="O62" s="62"/>
      <c r="P62" s="62"/>
      <c r="Q62" s="62"/>
      <c r="R62" s="62"/>
      <c r="S62" s="6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  <c r="BD62" s="82"/>
      <c r="BE62" s="82"/>
      <c r="BF62" s="82"/>
      <c r="BG62" s="82"/>
      <c r="BH62" s="82"/>
      <c r="BI62" s="82"/>
      <c r="BJ62" s="82"/>
      <c r="BK62" s="82"/>
      <c r="BL62" s="82"/>
      <c r="BM62" s="82"/>
      <c r="BN62" s="82"/>
      <c r="BO62" s="82"/>
      <c r="BP62" s="82"/>
      <c r="BQ62" s="82"/>
      <c r="BR62" s="82"/>
      <c r="BS62" s="82"/>
      <c r="BT62" s="82"/>
      <c r="BU62" s="82"/>
      <c r="BV62" s="82"/>
      <c r="BW62" s="82"/>
      <c r="BX62" s="82"/>
      <c r="BY62" s="82"/>
      <c r="BZ62" s="82"/>
      <c r="CA62" s="82"/>
      <c r="CB62" s="82"/>
      <c r="CC62" s="82"/>
    </row>
    <row r="63" spans="1:81" ht="15" customHeight="1" x14ac:dyDescent="0.25">
      <c r="A63" s="20"/>
      <c r="B63" s="27"/>
      <c r="C63" s="103"/>
      <c r="D63" s="80"/>
      <c r="E63" s="80"/>
      <c r="F63" s="80"/>
      <c r="G63" s="80"/>
      <c r="H63" s="79"/>
      <c r="I63" s="80"/>
      <c r="J63" s="81"/>
      <c r="K63" s="81"/>
      <c r="L63" s="62"/>
      <c r="M63" s="62"/>
      <c r="N63" s="62"/>
      <c r="O63" s="62"/>
      <c r="P63" s="62"/>
      <c r="Q63" s="62"/>
      <c r="R63" s="62"/>
      <c r="S63" s="62"/>
      <c r="T63" s="82"/>
      <c r="U63" s="82"/>
      <c r="V63" s="82"/>
      <c r="W63" s="82"/>
      <c r="X63" s="82"/>
      <c r="Y63" s="82"/>
      <c r="Z63" s="82"/>
      <c r="AA63" s="82"/>
      <c r="AB63" s="82"/>
      <c r="AC63" s="82"/>
      <c r="AD63" s="82"/>
      <c r="AE63" s="82"/>
      <c r="AF63" s="82"/>
      <c r="AG63" s="82"/>
      <c r="AH63" s="82"/>
      <c r="AI63" s="82"/>
      <c r="AJ63" s="82"/>
      <c r="AK63" s="82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  <c r="BD63" s="82"/>
      <c r="BE63" s="82"/>
      <c r="BF63" s="82"/>
      <c r="BG63" s="82"/>
      <c r="BH63" s="82"/>
      <c r="BI63" s="82"/>
      <c r="BJ63" s="82"/>
      <c r="BK63" s="82"/>
      <c r="BL63" s="82"/>
      <c r="BM63" s="82"/>
      <c r="BN63" s="82"/>
      <c r="BO63" s="82"/>
      <c r="BP63" s="82"/>
      <c r="BQ63" s="82"/>
      <c r="BR63" s="82"/>
      <c r="BS63" s="82"/>
      <c r="BT63" s="82"/>
      <c r="BU63" s="82"/>
      <c r="BV63" s="82"/>
      <c r="BW63" s="82"/>
      <c r="BX63" s="82"/>
      <c r="BY63" s="82"/>
      <c r="BZ63" s="82"/>
      <c r="CA63" s="82"/>
      <c r="CB63" s="82"/>
      <c r="CC63" s="82"/>
    </row>
    <row r="64" spans="1:81" ht="15" customHeight="1" x14ac:dyDescent="0.25">
      <c r="A64" s="20"/>
      <c r="B64" s="27"/>
      <c r="C64" s="103"/>
      <c r="D64" s="80"/>
      <c r="E64" s="80"/>
      <c r="F64" s="80"/>
      <c r="G64" s="80"/>
      <c r="H64" s="79"/>
      <c r="I64" s="80"/>
      <c r="J64" s="81"/>
      <c r="K64" s="81"/>
      <c r="L64" s="62"/>
      <c r="M64" s="62"/>
      <c r="N64" s="62"/>
      <c r="O64" s="62"/>
      <c r="P64" s="62"/>
      <c r="Q64" s="62"/>
      <c r="R64" s="62"/>
      <c r="S64" s="6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</row>
    <row r="65" spans="1:81" ht="15" customHeight="1" x14ac:dyDescent="0.25">
      <c r="A65" s="20"/>
      <c r="B65" s="27"/>
      <c r="C65" s="80"/>
      <c r="D65" s="80"/>
      <c r="E65" s="80"/>
      <c r="F65" s="80"/>
      <c r="G65" s="80"/>
      <c r="H65" s="79"/>
      <c r="I65" s="80"/>
      <c r="J65" s="81"/>
      <c r="K65" s="81"/>
      <c r="L65" s="62"/>
      <c r="M65" s="62"/>
      <c r="N65" s="62"/>
      <c r="O65" s="62"/>
      <c r="P65" s="62"/>
      <c r="Q65" s="62"/>
      <c r="R65" s="62"/>
      <c r="S65" s="6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</row>
    <row r="66" spans="1:81" ht="15" customHeight="1" x14ac:dyDescent="0.25">
      <c r="A66" s="20"/>
      <c r="B66" s="27"/>
      <c r="C66" s="80"/>
      <c r="D66" s="80"/>
      <c r="E66" s="80"/>
      <c r="F66" s="80"/>
      <c r="G66" s="80"/>
      <c r="H66" s="47"/>
      <c r="I66" s="20"/>
      <c r="J66" s="13"/>
      <c r="K66" s="13"/>
      <c r="L66" s="62"/>
      <c r="M66" s="62"/>
      <c r="N66" s="62"/>
      <c r="O66" s="62"/>
      <c r="P66" s="62"/>
      <c r="Q66" s="62"/>
      <c r="R66" s="62"/>
      <c r="S66" s="62"/>
    </row>
    <row r="67" spans="1:81" ht="15" customHeight="1" x14ac:dyDescent="0.25">
      <c r="A67" s="20"/>
      <c r="B67" s="27"/>
      <c r="C67" s="80"/>
      <c r="D67" s="80"/>
      <c r="E67" s="80"/>
      <c r="F67" s="80"/>
      <c r="G67" s="80"/>
      <c r="H67" s="47"/>
      <c r="I67" s="20"/>
      <c r="J67" s="13"/>
      <c r="K67" s="13"/>
      <c r="L67" s="62"/>
      <c r="M67" s="62"/>
      <c r="N67" s="62"/>
      <c r="O67" s="62"/>
      <c r="P67" s="62"/>
      <c r="Q67" s="62"/>
      <c r="R67" s="62"/>
      <c r="S67" s="62"/>
    </row>
    <row r="68" spans="1:81" ht="15" customHeight="1" x14ac:dyDescent="0.25">
      <c r="A68" s="20"/>
      <c r="B68" s="27"/>
      <c r="C68" s="80"/>
      <c r="D68" s="80"/>
      <c r="E68" s="80"/>
      <c r="F68" s="80"/>
      <c r="G68" s="80"/>
      <c r="H68" s="47"/>
      <c r="I68" s="20"/>
      <c r="J68" s="13"/>
      <c r="K68" s="13"/>
      <c r="L68" s="62"/>
      <c r="M68" s="62"/>
      <c r="N68" s="62"/>
      <c r="O68" s="62"/>
      <c r="P68" s="62"/>
      <c r="Q68" s="62"/>
      <c r="R68" s="62"/>
      <c r="S68" s="62"/>
    </row>
    <row r="69" spans="1:81" ht="15" customHeight="1" x14ac:dyDescent="0.25">
      <c r="A69" s="20"/>
      <c r="B69" s="27"/>
      <c r="C69" s="53"/>
      <c r="D69" s="54"/>
      <c r="E69" s="28"/>
      <c r="F69" s="51"/>
      <c r="G69" s="55"/>
      <c r="H69" s="47"/>
      <c r="I69" s="20"/>
      <c r="J69" s="13"/>
      <c r="K69" s="13"/>
      <c r="L69" s="63"/>
      <c r="M69" s="63"/>
      <c r="N69" s="63"/>
      <c r="O69" s="63"/>
      <c r="P69" s="63"/>
      <c r="Q69" s="62"/>
      <c r="R69" s="62"/>
      <c r="S69" s="62"/>
    </row>
    <row r="70" spans="1:81" ht="15" customHeight="1" x14ac:dyDescent="0.25">
      <c r="A70" s="20"/>
      <c r="B70" s="27"/>
      <c r="C70" s="53"/>
      <c r="D70" s="54"/>
      <c r="E70" s="28"/>
      <c r="F70" s="51"/>
      <c r="G70" s="55"/>
      <c r="H70" s="47"/>
      <c r="I70" s="20"/>
      <c r="J70" s="13"/>
      <c r="K70" s="13"/>
      <c r="L70" s="63"/>
      <c r="M70" s="63"/>
      <c r="N70" s="63"/>
      <c r="O70" s="63"/>
      <c r="P70" s="63"/>
      <c r="Q70" s="62"/>
      <c r="R70" s="62"/>
      <c r="S70" s="62"/>
    </row>
    <row r="71" spans="1:81" ht="15" customHeight="1" x14ac:dyDescent="0.25">
      <c r="A71" s="20"/>
      <c r="B71" s="27"/>
      <c r="C71" s="84"/>
      <c r="D71" s="54"/>
      <c r="E71" s="28"/>
      <c r="F71" s="51"/>
      <c r="G71" s="55"/>
      <c r="H71" s="56"/>
      <c r="I71" s="20"/>
      <c r="J71" s="13"/>
      <c r="K71" s="13"/>
      <c r="L71" s="63"/>
      <c r="M71" s="63"/>
      <c r="N71" s="63"/>
      <c r="O71" s="63"/>
      <c r="P71" s="63"/>
      <c r="Q71" s="62"/>
      <c r="R71" s="62"/>
      <c r="S71" s="62"/>
    </row>
    <row r="72" spans="1:81" ht="15" customHeight="1" x14ac:dyDescent="0.25">
      <c r="A72" s="20"/>
      <c r="B72" s="27"/>
      <c r="C72" s="20"/>
      <c r="D72" s="20"/>
      <c r="E72" s="43"/>
      <c r="F72" s="51"/>
      <c r="G72" s="55"/>
      <c r="H72" s="56"/>
      <c r="I72" s="20"/>
      <c r="J72" s="13"/>
      <c r="K72" s="13"/>
      <c r="L72" s="63"/>
      <c r="M72" s="63"/>
      <c r="N72" s="63"/>
      <c r="O72" s="63"/>
      <c r="P72" s="63"/>
      <c r="Q72" s="62"/>
      <c r="R72" s="62"/>
      <c r="S72" s="62"/>
    </row>
    <row r="73" spans="1:81" ht="15" customHeight="1" x14ac:dyDescent="0.25">
      <c r="A73" s="20"/>
      <c r="B73" s="27"/>
      <c r="C73" s="20"/>
      <c r="D73" s="20"/>
      <c r="E73" s="57"/>
      <c r="F73" s="37"/>
      <c r="G73" s="55"/>
      <c r="H73" s="56"/>
      <c r="I73" s="20"/>
      <c r="J73" s="13"/>
      <c r="K73" s="13"/>
      <c r="L73" s="63"/>
      <c r="M73" s="63"/>
      <c r="N73" s="63"/>
      <c r="O73" s="63"/>
      <c r="P73" s="63"/>
      <c r="Q73" s="62"/>
      <c r="R73" s="62"/>
      <c r="S73" s="62"/>
    </row>
    <row r="74" spans="1:81" ht="15" customHeight="1" x14ac:dyDescent="0.25">
      <c r="A74" s="20"/>
      <c r="B74" s="27"/>
      <c r="C74" s="44"/>
      <c r="D74" s="20"/>
      <c r="E74" s="28"/>
      <c r="F74" s="20"/>
      <c r="G74" s="20"/>
      <c r="H74" s="47"/>
      <c r="I74" s="20"/>
      <c r="J74" s="13"/>
      <c r="K74" s="13"/>
      <c r="L74" s="63"/>
      <c r="M74" s="63"/>
      <c r="N74" s="63"/>
      <c r="O74" s="63"/>
      <c r="P74" s="63"/>
      <c r="Q74" s="62"/>
      <c r="R74" s="62"/>
      <c r="S74" s="62"/>
    </row>
    <row r="75" spans="1:81" ht="15" customHeight="1" x14ac:dyDescent="0.25">
      <c r="A75" s="20"/>
      <c r="B75" s="27"/>
      <c r="C75" s="20"/>
      <c r="D75" s="20"/>
      <c r="E75" s="51"/>
      <c r="F75" s="51"/>
      <c r="G75" s="51"/>
      <c r="H75" s="47"/>
      <c r="I75" s="20"/>
      <c r="J75" s="13"/>
      <c r="K75" s="13"/>
      <c r="L75" s="62"/>
      <c r="M75" s="62"/>
      <c r="N75" s="62"/>
      <c r="O75" s="62"/>
      <c r="P75" s="62"/>
      <c r="Q75" s="62"/>
      <c r="R75" s="62"/>
      <c r="S75" s="62"/>
    </row>
    <row r="76" spans="1:81" ht="15" customHeight="1" x14ac:dyDescent="0.25">
      <c r="A76" s="20"/>
      <c r="B76" s="27"/>
      <c r="C76" s="44" t="s">
        <v>0</v>
      </c>
      <c r="D76" s="20"/>
      <c r="E76" s="28"/>
      <c r="F76" s="51"/>
      <c r="G76" s="51"/>
      <c r="H76" s="25"/>
      <c r="I76" s="20"/>
      <c r="J76" s="13"/>
      <c r="K76" s="13"/>
      <c r="L76" s="62"/>
      <c r="M76" s="64"/>
      <c r="N76" s="62"/>
      <c r="O76" s="62"/>
      <c r="P76" s="62"/>
      <c r="Q76" s="62"/>
      <c r="R76" s="62"/>
      <c r="S76" s="62"/>
    </row>
    <row r="77" spans="1:81" ht="15" customHeight="1" x14ac:dyDescent="0.25">
      <c r="A77" s="20"/>
      <c r="B77" s="27"/>
      <c r="C77" s="44" t="str">
        <f>Nabídka!Q7</f>
        <v>Michal Kopl, Kopl Pro</v>
      </c>
      <c r="D77" s="20"/>
      <c r="E77" s="28"/>
      <c r="F77" s="51"/>
      <c r="G77" s="51"/>
      <c r="H77" s="25"/>
      <c r="I77" s="20"/>
      <c r="J77" s="13"/>
      <c r="K77" s="13"/>
      <c r="L77" s="65"/>
      <c r="M77" s="62"/>
      <c r="N77" s="62"/>
      <c r="O77" s="62"/>
      <c r="P77" s="62"/>
      <c r="Q77" s="62"/>
      <c r="R77" s="62"/>
      <c r="S77" s="62"/>
    </row>
    <row r="78" spans="1:81" ht="15" customHeight="1" x14ac:dyDescent="0.25">
      <c r="A78" s="20"/>
      <c r="B78" s="27"/>
      <c r="C78" s="58" t="str">
        <f>Nabídka!Q10</f>
        <v>+420 777 062 425</v>
      </c>
      <c r="D78" s="20"/>
      <c r="E78" s="28"/>
      <c r="F78" s="31"/>
      <c r="G78" s="31"/>
      <c r="H78" s="25"/>
      <c r="I78" s="20"/>
      <c r="J78" s="13"/>
      <c r="K78" s="13"/>
      <c r="L78" s="62"/>
      <c r="M78" s="62"/>
      <c r="N78" s="62"/>
      <c r="O78" s="62"/>
      <c r="P78" s="62"/>
      <c r="Q78" s="62"/>
      <c r="R78" s="62"/>
      <c r="S78" s="62"/>
    </row>
    <row r="79" spans="1:81" ht="15" customHeight="1" x14ac:dyDescent="0.25">
      <c r="A79" s="20"/>
      <c r="B79" s="27"/>
      <c r="C79" s="8" t="str">
        <f>Nabídka!Q11</f>
        <v>michal@kopl.pro</v>
      </c>
      <c r="D79" s="20"/>
      <c r="E79" s="28"/>
      <c r="F79" s="31"/>
      <c r="G79" s="20"/>
      <c r="H79" s="25"/>
      <c r="I79" s="20"/>
      <c r="J79" s="13"/>
      <c r="K79" s="13"/>
      <c r="L79" s="62"/>
      <c r="M79" s="62"/>
      <c r="N79" s="62"/>
      <c r="O79" s="62"/>
      <c r="P79" s="62"/>
      <c r="Q79" s="62"/>
      <c r="R79" s="62"/>
      <c r="S79" s="62"/>
    </row>
    <row r="80" spans="1:81" ht="15" customHeight="1" thickBot="1" x14ac:dyDescent="0.3">
      <c r="A80" s="20"/>
      <c r="B80" s="30"/>
      <c r="C80" s="59"/>
      <c r="D80" s="59"/>
      <c r="E80" s="60"/>
      <c r="F80" s="61"/>
      <c r="G80" s="59"/>
      <c r="H80" s="26"/>
      <c r="I80" s="20"/>
      <c r="J80" s="13"/>
      <c r="K80" s="13"/>
      <c r="L80" s="62"/>
      <c r="M80" s="62"/>
      <c r="N80" s="62"/>
      <c r="O80" s="62"/>
      <c r="P80" s="62"/>
      <c r="Q80" s="62"/>
      <c r="R80" s="62"/>
      <c r="S80" s="62"/>
    </row>
    <row r="81" spans="1:19" ht="15" customHeight="1" thickTop="1" thickBot="1" x14ac:dyDescent="0.3">
      <c r="A81" s="20"/>
      <c r="B81" s="20"/>
      <c r="C81" s="20"/>
      <c r="D81" s="20"/>
      <c r="E81" s="28"/>
      <c r="F81" s="31"/>
      <c r="G81" s="31"/>
      <c r="H81" s="20"/>
      <c r="I81" s="20"/>
      <c r="J81" s="15"/>
      <c r="K81" s="13"/>
      <c r="L81" s="62"/>
      <c r="M81" s="62"/>
      <c r="N81" s="62"/>
      <c r="O81" s="62"/>
      <c r="P81" s="62"/>
      <c r="Q81" s="62"/>
      <c r="R81" s="62"/>
      <c r="S81" s="62"/>
    </row>
    <row r="82" spans="1:19" ht="15" thickTop="1" x14ac:dyDescent="0.25">
      <c r="I82" s="2"/>
      <c r="J82" s="13"/>
      <c r="K82" s="13"/>
      <c r="L82" s="62"/>
      <c r="M82" s="62"/>
      <c r="N82" s="62"/>
      <c r="O82" s="62"/>
      <c r="P82" s="62"/>
      <c r="Q82" s="62"/>
      <c r="R82" s="62"/>
      <c r="S82" s="62"/>
    </row>
    <row r="83" spans="1:19" x14ac:dyDescent="0.25">
      <c r="F83" s="3"/>
      <c r="G83" s="3"/>
      <c r="J83" s="13"/>
      <c r="K83" s="13"/>
      <c r="L83" s="62"/>
      <c r="M83" s="62"/>
      <c r="N83" s="62"/>
      <c r="O83" s="62"/>
      <c r="P83" s="62"/>
      <c r="Q83" s="62"/>
      <c r="R83" s="62"/>
      <c r="S83" s="62"/>
    </row>
    <row r="84" spans="1:19" x14ac:dyDescent="0.25">
      <c r="J84" s="13"/>
      <c r="K84" s="13"/>
      <c r="L84" s="13" t="s">
        <v>21</v>
      </c>
      <c r="M84" s="13"/>
      <c r="N84" s="13"/>
      <c r="O84" s="13"/>
      <c r="P84" s="13"/>
      <c r="Q84" s="13"/>
      <c r="R84" s="13"/>
      <c r="S84" s="13"/>
    </row>
    <row r="85" spans="1:19" x14ac:dyDescent="0.25">
      <c r="J85" s="13"/>
      <c r="K85" s="13"/>
      <c r="L85" s="13" t="s">
        <v>22</v>
      </c>
      <c r="M85" s="13"/>
      <c r="N85" s="13"/>
      <c r="O85" s="13"/>
      <c r="P85" s="13"/>
      <c r="Q85" s="13"/>
      <c r="R85" s="13"/>
      <c r="S85" s="13"/>
    </row>
    <row r="86" spans="1:19" x14ac:dyDescent="0.25">
      <c r="J86" s="13"/>
      <c r="K86" s="13"/>
      <c r="L86" s="13"/>
      <c r="M86" s="13"/>
      <c r="N86" s="13"/>
      <c r="O86" s="13"/>
      <c r="P86" s="13"/>
      <c r="Q86" s="13"/>
      <c r="R86" s="13"/>
      <c r="S86" s="13"/>
    </row>
    <row r="87" spans="1:19" x14ac:dyDescent="0.25"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5" x14ac:dyDescent="0.25">
      <c r="C88" s="66"/>
      <c r="J88" s="13"/>
      <c r="K88" s="13"/>
      <c r="L88" s="13"/>
      <c r="M88" s="13"/>
      <c r="N88" s="13"/>
      <c r="O88" s="13"/>
      <c r="P88" s="13"/>
      <c r="Q88" s="13"/>
      <c r="R88" s="13"/>
      <c r="S88" s="13"/>
    </row>
    <row r="89" spans="1:19" x14ac:dyDescent="0.25"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x14ac:dyDescent="0.25"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x14ac:dyDescent="0.25">
      <c r="J91" s="13"/>
      <c r="K91" s="13"/>
      <c r="L91" s="13"/>
      <c r="M91" s="13"/>
      <c r="N91" s="13"/>
      <c r="O91" s="13"/>
      <c r="P91" s="13"/>
      <c r="Q91" s="13"/>
      <c r="R91" s="13"/>
      <c r="S91" s="13"/>
    </row>
    <row r="92" spans="1:19" x14ac:dyDescent="0.25"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x14ac:dyDescent="0.25"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x14ac:dyDescent="0.25">
      <c r="J94" s="13"/>
      <c r="K94" s="13"/>
      <c r="L94" s="13"/>
      <c r="M94" s="13"/>
      <c r="N94" s="13"/>
      <c r="O94" s="13"/>
      <c r="P94" s="13"/>
      <c r="Q94" s="13"/>
      <c r="R94" s="13"/>
      <c r="S94" s="13"/>
    </row>
    <row r="95" spans="1:19" ht="15" x14ac:dyDescent="0.25">
      <c r="D95" s="4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x14ac:dyDescent="0.25"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0:19" x14ac:dyDescent="0.25">
      <c r="J97" s="13"/>
      <c r="K97" s="13"/>
      <c r="L97" s="13"/>
      <c r="M97" s="13"/>
      <c r="N97" s="13"/>
      <c r="O97" s="13"/>
      <c r="P97" s="13"/>
      <c r="Q97" s="13"/>
      <c r="R97" s="13"/>
      <c r="S97" s="13"/>
    </row>
    <row r="98" spans="10:19" x14ac:dyDescent="0.25"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0:19" x14ac:dyDescent="0.25"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0:19" x14ac:dyDescent="0.25"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0:19" x14ac:dyDescent="0.25"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0:19" x14ac:dyDescent="0.25"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0:19" x14ac:dyDescent="0.25">
      <c r="J103" s="13"/>
      <c r="K103" s="13"/>
      <c r="L103" s="13"/>
      <c r="M103" s="13"/>
      <c r="N103" s="13"/>
      <c r="O103" s="13"/>
      <c r="P103" s="13"/>
      <c r="Q103" s="13"/>
      <c r="R103" s="13"/>
      <c r="S103" s="13"/>
    </row>
    <row r="104" spans="10:19" x14ac:dyDescent="0.25"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0:19" x14ac:dyDescent="0.25"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0:19" x14ac:dyDescent="0.25">
      <c r="J106" s="13"/>
      <c r="K106" s="13"/>
      <c r="L106" s="13"/>
      <c r="M106" s="13"/>
      <c r="N106" s="13"/>
      <c r="O106" s="13"/>
      <c r="P106" s="13"/>
      <c r="Q106" s="13"/>
      <c r="R106" s="13"/>
      <c r="S106" s="13"/>
    </row>
    <row r="107" spans="10:19" x14ac:dyDescent="0.25"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0:19" x14ac:dyDescent="0.25"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0:19" x14ac:dyDescent="0.25">
      <c r="J109" s="13"/>
      <c r="K109" s="13"/>
      <c r="L109" s="13"/>
      <c r="M109" s="13"/>
      <c r="N109" s="13"/>
      <c r="O109" s="13"/>
      <c r="P109" s="13"/>
      <c r="Q109" s="13"/>
      <c r="R109" s="13"/>
      <c r="S109" s="13"/>
    </row>
    <row r="110" spans="10:19" x14ac:dyDescent="0.25"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0:19" x14ac:dyDescent="0.25"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0:19" x14ac:dyDescent="0.25">
      <c r="J112" s="13"/>
      <c r="K112" s="13"/>
      <c r="L112" s="13"/>
      <c r="M112" s="13"/>
      <c r="N112" s="13"/>
      <c r="O112" s="13"/>
      <c r="P112" s="13"/>
      <c r="Q112" s="13"/>
      <c r="R112" s="13"/>
      <c r="S112" s="13"/>
    </row>
    <row r="113" spans="10:19" x14ac:dyDescent="0.25"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0:19" x14ac:dyDescent="0.25"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0:19" x14ac:dyDescent="0.25"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0:19" x14ac:dyDescent="0.25"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0:19" x14ac:dyDescent="0.25"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0:19" x14ac:dyDescent="0.25">
      <c r="J118" s="13"/>
      <c r="K118" s="13"/>
      <c r="L118" s="13"/>
      <c r="M118" s="13"/>
      <c r="N118" s="13"/>
      <c r="O118" s="13"/>
      <c r="P118" s="13"/>
      <c r="Q118" s="13"/>
      <c r="R118" s="13"/>
      <c r="S118" s="13"/>
    </row>
  </sheetData>
  <sheetProtection selectLockedCells="1"/>
  <protectedRanges>
    <protectedRange sqref="L16 L54:L55" name="Lhůta provedení"/>
    <protectedRange sqref="C47:F52 C20:F42" name="Materiál"/>
    <protectedRange sqref="C16:D16" name="StavbaTermín"/>
    <protectedRange sqref="G4" name="Podklad"/>
    <protectedRange sqref="D6:D10" name="Objednatel"/>
    <protectedRange sqref="C78" name="Telefon"/>
    <protectedRange sqref="C57:C58" name="StavebniPripravenost"/>
  </protectedRanges>
  <mergeCells count="35">
    <mergeCell ref="E53:F53"/>
    <mergeCell ref="B10:C10"/>
    <mergeCell ref="D10:G10"/>
    <mergeCell ref="L10:O10"/>
    <mergeCell ref="Q10:T10"/>
    <mergeCell ref="L11:O11"/>
    <mergeCell ref="Q11:T11"/>
    <mergeCell ref="Q12:T12"/>
    <mergeCell ref="Q13:T13"/>
    <mergeCell ref="Q14:T14"/>
    <mergeCell ref="O26:T33"/>
    <mergeCell ref="E43:F43"/>
    <mergeCell ref="B8:C8"/>
    <mergeCell ref="D8:G8"/>
    <mergeCell ref="L8:O8"/>
    <mergeCell ref="Q8:T8"/>
    <mergeCell ref="B9:C9"/>
    <mergeCell ref="D9:G9"/>
    <mergeCell ref="L9:O9"/>
    <mergeCell ref="Q9:T9"/>
    <mergeCell ref="B6:C6"/>
    <mergeCell ref="D6:G6"/>
    <mergeCell ref="L6:O6"/>
    <mergeCell ref="Q6:T6"/>
    <mergeCell ref="B7:C7"/>
    <mergeCell ref="D7:G7"/>
    <mergeCell ref="L7:O7"/>
    <mergeCell ref="Q7:T7"/>
    <mergeCell ref="B5:C5"/>
    <mergeCell ref="D5:G5"/>
    <mergeCell ref="L5:O5"/>
    <mergeCell ref="B2:D4"/>
    <mergeCell ref="E4:G4"/>
    <mergeCell ref="E2:F2"/>
    <mergeCell ref="E3:F3"/>
  </mergeCells>
  <hyperlinks>
    <hyperlink ref="C79" r:id="rId1" display="michal@kopl.pro" xr:uid="{335671C9-901B-431B-B030-239DE32B2227}"/>
  </hyperlinks>
  <printOptions horizontalCentered="1" verticalCentered="1"/>
  <pageMargins left="0.23622047244094491" right="0.23622047244094491" top="0.19685039370078741" bottom="0.19685039370078741" header="0.31496062992125984" footer="0.31496062992125984"/>
  <pageSetup paperSize="9" scale="11" orientation="portrait" r:id="rId2"/>
  <headerFooter alignWithMargins="0"/>
  <ignoredErrors>
    <ignoredError xmlns:x16r3="http://schemas.microsoft.com/office/spreadsheetml/2018/08/main" sqref="D16" x16r3:misleadingFormat="1"/>
  </ignoredErrors>
  <drawing r:id="rId3"/>
  <tableParts count="4"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6C5D-ADAB-42AE-98A3-057215BA7B09}">
  <sheetPr codeName="Sheet3">
    <tabColor theme="8" tint="0.59999389629810485"/>
    <pageSetUpPr fitToPage="1"/>
  </sheetPr>
  <dimension ref="A1:CC118"/>
  <sheetViews>
    <sheetView zoomScaleNormal="100" zoomScalePageLayoutView="25" workbookViewId="0">
      <selection activeCell="M33" sqref="M33"/>
    </sheetView>
  </sheetViews>
  <sheetFormatPr defaultColWidth="9.140625" defaultRowHeight="14.25" x14ac:dyDescent="0.25"/>
  <cols>
    <col min="1" max="2" width="3.28515625" style="1" customWidth="1"/>
    <col min="3" max="3" width="66" style="1" customWidth="1"/>
    <col min="4" max="4" width="16.42578125" style="1" bestFit="1" customWidth="1"/>
    <col min="5" max="5" width="22.28515625" style="1" bestFit="1" customWidth="1"/>
    <col min="6" max="6" width="21.140625" style="1" bestFit="1" customWidth="1"/>
    <col min="7" max="7" width="20" style="1" bestFit="1" customWidth="1"/>
    <col min="8" max="9" width="3.28515625" style="1" customWidth="1"/>
    <col min="10" max="10" width="9.140625" style="1"/>
    <col min="11" max="11" width="10.28515625" style="1" bestFit="1" customWidth="1"/>
    <col min="12" max="16" width="9.140625" style="1" customWidth="1"/>
    <col min="17" max="19" width="9.140625" style="1"/>
    <col min="20" max="20" width="9.140625" style="1" customWidth="1"/>
    <col min="21" max="25" width="9.140625" style="1"/>
    <col min="26" max="26" width="9.140625" style="1" customWidth="1"/>
    <col min="27" max="16384" width="9.140625" style="1"/>
  </cols>
  <sheetData>
    <row r="1" spans="1:32" ht="21" customHeight="1" thickBot="1" x14ac:dyDescent="0.3">
      <c r="A1" s="20"/>
      <c r="B1" s="20"/>
      <c r="C1" s="20"/>
      <c r="D1" s="20"/>
      <c r="E1" s="20"/>
      <c r="F1" s="20"/>
      <c r="G1" s="20"/>
      <c r="H1" s="20"/>
      <c r="I1" s="20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21" customHeight="1" thickTop="1" x14ac:dyDescent="0.25">
      <c r="A2" s="20"/>
      <c r="B2" s="176" t="str">
        <f>REPT(" ",15) &amp; "VYSTAVENÉ FAKTURY     "</f>
        <v xml:space="preserve">               VYSTAVENÉ FAKTURY     </v>
      </c>
      <c r="C2" s="176"/>
      <c r="D2" s="177"/>
      <c r="E2" s="166" t="s">
        <v>26</v>
      </c>
      <c r="F2" s="167"/>
      <c r="G2" s="121">
        <f>MIN(G14:G79)</f>
        <v>45885</v>
      </c>
      <c r="H2" s="22"/>
      <c r="I2" s="20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ht="21" customHeight="1" x14ac:dyDescent="0.25">
      <c r="A3" s="20"/>
      <c r="B3" s="176"/>
      <c r="C3" s="176"/>
      <c r="D3" s="177"/>
      <c r="E3" s="164" t="s">
        <v>27</v>
      </c>
      <c r="F3" s="165"/>
      <c r="G3" s="122">
        <f>MAX(G14:G79)</f>
        <v>45886</v>
      </c>
      <c r="H3" s="25"/>
      <c r="I3" s="20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ht="15.75" customHeight="1" thickBot="1" x14ac:dyDescent="0.3">
      <c r="A4" s="20"/>
      <c r="B4" s="176"/>
      <c r="C4" s="176"/>
      <c r="D4" s="177"/>
      <c r="E4" s="219"/>
      <c r="F4" s="220"/>
      <c r="G4" s="220"/>
      <c r="H4" s="25"/>
      <c r="I4" s="20"/>
      <c r="J4" s="4"/>
      <c r="K4" s="4" t="s">
        <v>43</v>
      </c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ht="15" customHeight="1" thickTop="1" x14ac:dyDescent="0.25">
      <c r="A5" s="20"/>
      <c r="B5" s="172" t="str">
        <f>REPT(" ",6)&amp;"Dodavatel:"</f>
        <v xml:space="preserve">      Dodavatel:</v>
      </c>
      <c r="C5" s="173"/>
      <c r="D5" s="70"/>
      <c r="E5" s="70"/>
      <c r="F5" s="70"/>
      <c r="G5" s="70"/>
      <c r="H5" s="22"/>
      <c r="I5" s="20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ht="15" customHeight="1" x14ac:dyDescent="0.25">
      <c r="A6" s="20"/>
      <c r="B6" s="181" t="str">
        <f>REPT(" ",6)&amp;Nabídka!Q7</f>
        <v xml:space="preserve">      Michal Kopl, Kopl Pro</v>
      </c>
      <c r="C6" s="221"/>
      <c r="D6" s="28"/>
      <c r="E6" s="28"/>
      <c r="F6" s="150" t="s">
        <v>28</v>
      </c>
      <c r="G6" s="150" t="s">
        <v>29</v>
      </c>
      <c r="H6" s="25"/>
      <c r="I6" s="20"/>
      <c r="J6" s="4"/>
      <c r="K6" s="4" t="s">
        <v>44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</row>
    <row r="7" spans="1:32" ht="15" customHeight="1" x14ac:dyDescent="0.25">
      <c r="A7" s="20"/>
      <c r="B7" s="181" t="str">
        <f>REPT(" ",6)&amp;Nabídka!Q8&amp;", "&amp;Nabídka!Q9</f>
        <v xml:space="preserve">      Krškova 783/15, Praha 5 - Hlubočepy, Česká Republika, 152 00</v>
      </c>
      <c r="C7" s="221"/>
      <c r="D7" s="28"/>
      <c r="E7" s="28"/>
      <c r="F7" s="130">
        <f>SUBTOTAL(109,E14:E79)</f>
        <v>1666992.4399999995</v>
      </c>
      <c r="G7" s="130">
        <f>SUM(E14:E79)</f>
        <v>1666992.4399999995</v>
      </c>
      <c r="H7" s="25"/>
      <c r="I7" s="20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</row>
    <row r="8" spans="1:32" ht="15" customHeight="1" x14ac:dyDescent="0.25">
      <c r="A8" s="20"/>
      <c r="B8" s="181" t="str">
        <f>REPT(" ",6)&amp;Nabídka!Q10&amp;"  /  "&amp;Nabídka!Q11&amp;", "&amp;Nabídka!Q14</f>
        <v xml:space="preserve">      +420 777 062 425  /  michal@kopl.pro, https://www.kopl.pro</v>
      </c>
      <c r="C8" s="221"/>
      <c r="D8" s="28"/>
      <c r="E8" s="28"/>
      <c r="F8" s="28"/>
      <c r="G8" s="28"/>
      <c r="H8" s="25"/>
      <c r="I8" s="20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ht="15" customHeight="1" x14ac:dyDescent="0.25">
      <c r="A9" s="20"/>
      <c r="B9" s="181" t="str">
        <f>REPT(" ",6)&amp;"BÚ:"&amp;Nabídka!Q12&amp;", IBAN:"&amp;Nabídka!Q13</f>
        <v xml:space="preserve">      BÚ:000000-1028895568/5500, IBAN:CZ5655000000001028895568</v>
      </c>
      <c r="C9" s="221"/>
      <c r="D9" s="28"/>
      <c r="E9" s="28"/>
      <c r="F9" s="28"/>
      <c r="G9" s="28"/>
      <c r="H9" s="25"/>
      <c r="I9" s="20"/>
      <c r="J9" s="4"/>
      <c r="K9" s="4"/>
      <c r="L9" s="4"/>
      <c r="M9" s="4"/>
      <c r="N9" s="4"/>
      <c r="O9" s="4"/>
      <c r="P9" s="96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</row>
    <row r="10" spans="1:32" ht="15" customHeight="1" x14ac:dyDescent="0.25">
      <c r="A10" s="20"/>
      <c r="B10" s="181" t="str">
        <f>REPT(" ",6)&amp;Nabídka!Q15</f>
        <v xml:space="preserve">      IČO: 03217213, Dodavatel není plátcem DPH dle § 6 zákona o DPH.</v>
      </c>
      <c r="C10" s="221"/>
      <c r="D10" s="29"/>
      <c r="E10" s="29"/>
      <c r="F10" s="29"/>
      <c r="G10" s="29"/>
      <c r="H10" s="25"/>
      <c r="I10" s="20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</row>
    <row r="11" spans="1:32" ht="15" customHeight="1" thickBot="1" x14ac:dyDescent="0.3">
      <c r="A11" s="20"/>
      <c r="B11" s="30"/>
      <c r="C11" s="75"/>
      <c r="D11" s="59"/>
      <c r="E11" s="59"/>
      <c r="F11" s="61"/>
      <c r="G11" s="61"/>
      <c r="H11" s="26"/>
      <c r="I11" s="20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</row>
    <row r="12" spans="1:32" ht="15" customHeight="1" thickTop="1" x14ac:dyDescent="0.25">
      <c r="A12" s="20"/>
      <c r="B12" s="86"/>
      <c r="C12" s="87"/>
      <c r="D12" s="88"/>
      <c r="E12" s="88"/>
      <c r="F12" s="89"/>
      <c r="G12" s="89"/>
      <c r="H12" s="90"/>
      <c r="I12" s="20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</row>
    <row r="13" spans="1:32" ht="15" customHeight="1" x14ac:dyDescent="0.25">
      <c r="A13" s="20"/>
      <c r="B13" s="86"/>
      <c r="C13" s="104" t="s">
        <v>54</v>
      </c>
      <c r="D13" s="105" t="s">
        <v>30</v>
      </c>
      <c r="E13" s="105" t="s">
        <v>31</v>
      </c>
      <c r="F13" s="105" t="s">
        <v>32</v>
      </c>
      <c r="G13" s="105" t="s">
        <v>33</v>
      </c>
      <c r="H13" s="90"/>
      <c r="I13" s="20"/>
      <c r="J13" s="4"/>
      <c r="K13" s="149" t="str">
        <f ca="1">"Vyčištěním listu v rozsahu C14:G80 dojde k vynulování počítání. Faktury začnou všude opět od čísla 001"&amp;YEAR(TODAY())&amp;"."</f>
        <v>Vyčištěním listu v rozsahu C14:G80 dojde k vynulování počítání. Faktury začnou všude opět od čísla 0012025.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</row>
    <row r="14" spans="1:32" ht="15" customHeight="1" x14ac:dyDescent="0.25">
      <c r="A14" s="20"/>
      <c r="B14" s="86"/>
      <c r="C14" s="109" t="s">
        <v>172</v>
      </c>
      <c r="D14" s="110" t="str">
        <f>TEXT(102025,"#0000000")</f>
        <v>0102025</v>
      </c>
      <c r="E14" s="132">
        <v>100000</v>
      </c>
      <c r="F14" s="132">
        <v>100000</v>
      </c>
      <c r="G14" s="111">
        <v>45885</v>
      </c>
      <c r="H14" s="90"/>
      <c r="I14" s="20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</row>
    <row r="15" spans="1:32" ht="15" customHeight="1" x14ac:dyDescent="0.25">
      <c r="A15" s="20"/>
      <c r="B15" s="86"/>
      <c r="C15" s="109" t="s">
        <v>172</v>
      </c>
      <c r="D15" s="110" t="str">
        <f>TEXT(112025,"#0000000")</f>
        <v>0112025</v>
      </c>
      <c r="E15" s="132">
        <v>120537.88</v>
      </c>
      <c r="F15" s="132">
        <v>120537.88</v>
      </c>
      <c r="G15" s="111">
        <v>45886</v>
      </c>
      <c r="H15" s="90"/>
      <c r="I15" s="20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</row>
    <row r="16" spans="1:32" ht="15" customHeight="1" x14ac:dyDescent="0.25">
      <c r="A16" s="20"/>
      <c r="B16" s="86"/>
      <c r="C16" s="109" t="s">
        <v>172</v>
      </c>
      <c r="D16" s="112" t="str">
        <f>TEXT(32025,"#0000000")</f>
        <v>0032025</v>
      </c>
      <c r="E16" s="132">
        <v>120537.88</v>
      </c>
      <c r="F16" s="132">
        <v>120537.88</v>
      </c>
      <c r="G16" s="111">
        <v>45886</v>
      </c>
      <c r="H16" s="90"/>
      <c r="I16" s="20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</row>
    <row r="17" spans="1:32" ht="15" customHeight="1" x14ac:dyDescent="0.25">
      <c r="A17" s="20"/>
      <c r="B17" s="86"/>
      <c r="C17" s="109" t="s">
        <v>172</v>
      </c>
      <c r="D17" s="113" t="str">
        <f>TEXT(122025,"#0000000")</f>
        <v>0122025</v>
      </c>
      <c r="E17" s="132">
        <v>120537.88</v>
      </c>
      <c r="F17" s="132">
        <v>120537.88</v>
      </c>
      <c r="G17" s="111">
        <v>45886</v>
      </c>
      <c r="H17" s="90"/>
      <c r="I17" s="20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</row>
    <row r="18" spans="1:32" ht="15" customHeight="1" x14ac:dyDescent="0.25">
      <c r="A18" s="20"/>
      <c r="B18" s="86"/>
      <c r="C18" s="109" t="s">
        <v>172</v>
      </c>
      <c r="D18" s="110" t="str">
        <f>TEXT(52025,"#0000000")</f>
        <v>0052025</v>
      </c>
      <c r="E18" s="132">
        <v>120537.88</v>
      </c>
      <c r="F18" s="132">
        <v>120537.88</v>
      </c>
      <c r="G18" s="111">
        <v>45886</v>
      </c>
      <c r="H18" s="90"/>
      <c r="I18" s="20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</row>
    <row r="19" spans="1:32" ht="15" customHeight="1" x14ac:dyDescent="0.25">
      <c r="A19" s="20"/>
      <c r="B19" s="86"/>
      <c r="C19" s="109" t="s">
        <v>172</v>
      </c>
      <c r="D19" s="110" t="str">
        <f>TEXT(132025,"#0000000")</f>
        <v>0132025</v>
      </c>
      <c r="E19" s="132">
        <v>120537.88</v>
      </c>
      <c r="F19" s="132">
        <v>120537.88</v>
      </c>
      <c r="G19" s="111">
        <v>45886</v>
      </c>
      <c r="H19" s="91"/>
      <c r="I19" s="20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</row>
    <row r="20" spans="1:32" ht="15" customHeight="1" x14ac:dyDescent="0.25">
      <c r="A20" s="20"/>
      <c r="B20" s="86"/>
      <c r="C20" s="114" t="s">
        <v>172</v>
      </c>
      <c r="D20" s="110" t="str">
        <f>TEXT(72025,"#0000000")</f>
        <v>0072025</v>
      </c>
      <c r="E20" s="132">
        <v>120537.88</v>
      </c>
      <c r="F20" s="132">
        <v>120537.88</v>
      </c>
      <c r="G20" s="111">
        <v>45886</v>
      </c>
      <c r="H20" s="91"/>
      <c r="I20" s="20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</row>
    <row r="21" spans="1:32" ht="15" customHeight="1" x14ac:dyDescent="0.25">
      <c r="A21" s="20"/>
      <c r="B21" s="86"/>
      <c r="C21" s="114" t="s">
        <v>172</v>
      </c>
      <c r="D21" s="110" t="str">
        <f>TEXT(82025,"#0000000")</f>
        <v>0082025</v>
      </c>
      <c r="E21" s="132">
        <v>120537.88</v>
      </c>
      <c r="F21" s="132">
        <v>120537.88</v>
      </c>
      <c r="G21" s="111">
        <v>45886</v>
      </c>
      <c r="H21" s="91"/>
      <c r="I21" s="20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</row>
    <row r="22" spans="1:32" ht="15" customHeight="1" x14ac:dyDescent="0.25">
      <c r="A22" s="20"/>
      <c r="B22" s="86"/>
      <c r="C22" s="114" t="s">
        <v>172</v>
      </c>
      <c r="D22" s="110" t="str">
        <f>TEXT(92025,"#0000000")</f>
        <v>0092025</v>
      </c>
      <c r="E22" s="132">
        <v>120537.88</v>
      </c>
      <c r="F22" s="132">
        <v>120537.88</v>
      </c>
      <c r="G22" s="111">
        <v>45886</v>
      </c>
      <c r="H22" s="91"/>
      <c r="I22" s="20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</row>
    <row r="23" spans="1:32" ht="15" customHeight="1" x14ac:dyDescent="0.25">
      <c r="A23" s="20"/>
      <c r="B23" s="86"/>
      <c r="C23" s="114" t="s">
        <v>172</v>
      </c>
      <c r="D23" s="110" t="str">
        <f>TEXT(142025,"#0000000")</f>
        <v>0142025</v>
      </c>
      <c r="E23" s="132">
        <v>120537.88</v>
      </c>
      <c r="F23" s="132">
        <v>120537.88</v>
      </c>
      <c r="G23" s="111">
        <v>45886</v>
      </c>
      <c r="H23" s="91"/>
      <c r="I23" s="20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</row>
    <row r="24" spans="1:32" ht="15" customHeight="1" x14ac:dyDescent="0.25">
      <c r="A24" s="20"/>
      <c r="B24" s="86"/>
      <c r="C24" s="114" t="s">
        <v>172</v>
      </c>
      <c r="D24" s="110" t="str">
        <f>TEXT(112025,"#0000000")</f>
        <v>0112025</v>
      </c>
      <c r="E24" s="132">
        <v>120537.88</v>
      </c>
      <c r="F24" s="132">
        <v>120537.88</v>
      </c>
      <c r="G24" s="111">
        <v>45886</v>
      </c>
      <c r="H24" s="91"/>
      <c r="I24" s="20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</row>
    <row r="25" spans="1:32" ht="15" customHeight="1" x14ac:dyDescent="0.25">
      <c r="A25" s="20"/>
      <c r="B25" s="86"/>
      <c r="C25" s="114" t="s">
        <v>172</v>
      </c>
      <c r="D25" s="110" t="str">
        <f>TEXT(152025,"#0000000")</f>
        <v>0152025</v>
      </c>
      <c r="E25" s="132">
        <v>120537.88</v>
      </c>
      <c r="F25" s="132">
        <v>120537.88</v>
      </c>
      <c r="G25" s="111">
        <v>45886</v>
      </c>
      <c r="H25" s="91"/>
      <c r="I25" s="20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</row>
    <row r="26" spans="1:32" ht="15" customHeight="1" x14ac:dyDescent="0.25">
      <c r="A26" s="20"/>
      <c r="B26" s="86"/>
      <c r="C26" s="114" t="s">
        <v>172</v>
      </c>
      <c r="D26" s="110" t="str">
        <f>TEXT(162025,"#0000000")</f>
        <v>0162025</v>
      </c>
      <c r="E26" s="132">
        <v>120537.88</v>
      </c>
      <c r="F26" s="132">
        <v>120537.88</v>
      </c>
      <c r="G26" s="111">
        <v>45886</v>
      </c>
      <c r="H26" s="91"/>
      <c r="I26" s="20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</row>
    <row r="27" spans="1:32" ht="15" customHeight="1" x14ac:dyDescent="0.25">
      <c r="A27" s="20"/>
      <c r="B27" s="86"/>
      <c r="C27" s="114" t="s">
        <v>183</v>
      </c>
      <c r="D27" s="110" t="str">
        <f>TEXT(172025,"#0000000")</f>
        <v>0172025</v>
      </c>
      <c r="E27" s="132">
        <v>120537.88</v>
      </c>
      <c r="F27" s="132">
        <v>120537.88</v>
      </c>
      <c r="G27" s="111">
        <v>45886</v>
      </c>
      <c r="H27" s="91"/>
      <c r="I27" s="20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</row>
    <row r="28" spans="1:32" ht="15" customHeight="1" x14ac:dyDescent="0.25">
      <c r="A28" s="20"/>
      <c r="B28" s="86"/>
      <c r="C28" s="109"/>
      <c r="D28" s="110"/>
      <c r="E28" s="132"/>
      <c r="F28" s="132"/>
      <c r="G28" s="111"/>
      <c r="H28" s="91"/>
      <c r="I28" s="20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</row>
    <row r="29" spans="1:32" ht="15" customHeight="1" x14ac:dyDescent="0.25">
      <c r="A29" s="20"/>
      <c r="B29" s="86"/>
      <c r="C29" s="114"/>
      <c r="D29" s="110"/>
      <c r="E29" s="132"/>
      <c r="F29" s="132"/>
      <c r="G29" s="111"/>
      <c r="H29" s="91"/>
      <c r="I29" s="20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1:32" ht="15" customHeight="1" x14ac:dyDescent="0.25">
      <c r="A30" s="20"/>
      <c r="B30" s="86"/>
      <c r="C30" s="114"/>
      <c r="D30" s="110"/>
      <c r="E30" s="132"/>
      <c r="F30" s="132"/>
      <c r="G30" s="111"/>
      <c r="H30" s="91"/>
      <c r="I30" s="20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</row>
    <row r="31" spans="1:32" ht="15" customHeight="1" x14ac:dyDescent="0.25">
      <c r="A31" s="20"/>
      <c r="B31" s="86"/>
      <c r="C31" s="114"/>
      <c r="D31" s="110"/>
      <c r="E31" s="132"/>
      <c r="F31" s="132"/>
      <c r="G31" s="111"/>
      <c r="H31" s="91"/>
      <c r="I31" s="20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</row>
    <row r="32" spans="1:32" ht="15" customHeight="1" x14ac:dyDescent="0.25">
      <c r="A32" s="20"/>
      <c r="B32" s="86"/>
      <c r="C32" s="114"/>
      <c r="D32" s="110"/>
      <c r="E32" s="132"/>
      <c r="F32" s="132"/>
      <c r="G32" s="111"/>
      <c r="H32" s="91"/>
      <c r="I32" s="20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</row>
    <row r="33" spans="1:32" ht="15" customHeight="1" x14ac:dyDescent="0.25">
      <c r="A33" s="20"/>
      <c r="B33" s="86"/>
      <c r="C33" s="114"/>
      <c r="D33" s="110"/>
      <c r="E33" s="132"/>
      <c r="F33" s="132"/>
      <c r="G33" s="111"/>
      <c r="H33" s="91"/>
      <c r="I33" s="20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</row>
    <row r="34" spans="1:32" ht="15" customHeight="1" x14ac:dyDescent="0.25">
      <c r="A34" s="20"/>
      <c r="B34" s="86"/>
      <c r="C34" s="114"/>
      <c r="D34" s="110"/>
      <c r="E34" s="132"/>
      <c r="F34" s="132"/>
      <c r="G34" s="111"/>
      <c r="H34" s="91"/>
      <c r="I34" s="20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</row>
    <row r="35" spans="1:32" ht="15" customHeight="1" x14ac:dyDescent="0.25">
      <c r="A35" s="20"/>
      <c r="B35" s="86"/>
      <c r="C35" s="114"/>
      <c r="D35" s="110"/>
      <c r="E35" s="132"/>
      <c r="F35" s="132"/>
      <c r="G35" s="111"/>
      <c r="H35" s="91"/>
      <c r="I35" s="20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</row>
    <row r="36" spans="1:32" ht="15" customHeight="1" x14ac:dyDescent="0.25">
      <c r="A36" s="20"/>
      <c r="B36" s="86"/>
      <c r="C36" s="114"/>
      <c r="D36" s="110"/>
      <c r="E36" s="132"/>
      <c r="F36" s="132"/>
      <c r="G36" s="111"/>
      <c r="H36" s="91"/>
      <c r="I36" s="20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  <row r="37" spans="1:32" ht="15" customHeight="1" x14ac:dyDescent="0.25">
      <c r="A37" s="20"/>
      <c r="B37" s="86"/>
      <c r="C37" s="114"/>
      <c r="D37" s="110"/>
      <c r="E37" s="132"/>
      <c r="F37" s="132"/>
      <c r="G37" s="111"/>
      <c r="H37" s="91"/>
      <c r="I37" s="20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</row>
    <row r="38" spans="1:32" ht="15" customHeight="1" x14ac:dyDescent="0.25">
      <c r="A38" s="20"/>
      <c r="B38" s="86"/>
      <c r="C38" s="114"/>
      <c r="D38" s="110"/>
      <c r="E38" s="132"/>
      <c r="F38" s="132"/>
      <c r="G38" s="111"/>
      <c r="H38" s="91"/>
      <c r="I38" s="20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</row>
    <row r="39" spans="1:32" ht="15" customHeight="1" x14ac:dyDescent="0.25">
      <c r="A39" s="20"/>
      <c r="B39" s="86"/>
      <c r="C39" s="114"/>
      <c r="D39" s="110"/>
      <c r="E39" s="132"/>
      <c r="F39" s="132"/>
      <c r="G39" s="111"/>
      <c r="H39" s="91"/>
      <c r="I39" s="20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</row>
    <row r="40" spans="1:32" ht="15" customHeight="1" x14ac:dyDescent="0.25">
      <c r="A40" s="20"/>
      <c r="B40" s="86"/>
      <c r="C40" s="114"/>
      <c r="D40" s="110"/>
      <c r="E40" s="132"/>
      <c r="F40" s="132"/>
      <c r="G40" s="111"/>
      <c r="H40" s="91"/>
      <c r="I40" s="20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</row>
    <row r="41" spans="1:32" ht="15" customHeight="1" x14ac:dyDescent="0.25">
      <c r="A41" s="20"/>
      <c r="B41" s="86"/>
      <c r="C41" s="114"/>
      <c r="D41" s="110"/>
      <c r="E41" s="132"/>
      <c r="F41" s="132"/>
      <c r="G41" s="111"/>
      <c r="H41" s="91"/>
      <c r="I41" s="20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</row>
    <row r="42" spans="1:32" ht="15" customHeight="1" x14ac:dyDescent="0.25">
      <c r="A42" s="20"/>
      <c r="B42" s="86"/>
      <c r="C42" s="114"/>
      <c r="D42" s="110"/>
      <c r="E42" s="132"/>
      <c r="F42" s="132"/>
      <c r="G42" s="111"/>
      <c r="H42" s="91"/>
      <c r="I42" s="20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</row>
    <row r="43" spans="1:32" ht="15" customHeight="1" x14ac:dyDescent="0.25">
      <c r="A43" s="20"/>
      <c r="B43" s="86"/>
      <c r="C43" s="109"/>
      <c r="D43" s="110"/>
      <c r="E43" s="133"/>
      <c r="F43" s="133"/>
      <c r="G43" s="111"/>
      <c r="H43" s="91"/>
      <c r="I43" s="20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</row>
    <row r="44" spans="1:32" ht="15" customHeight="1" x14ac:dyDescent="0.25">
      <c r="A44" s="20"/>
      <c r="B44" s="86"/>
      <c r="C44" s="109"/>
      <c r="D44" s="110"/>
      <c r="E44" s="133"/>
      <c r="F44" s="133"/>
      <c r="G44" s="111"/>
      <c r="H44" s="91"/>
      <c r="I44" s="20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</row>
    <row r="45" spans="1:32" ht="15" customHeight="1" x14ac:dyDescent="0.25">
      <c r="A45" s="20"/>
      <c r="B45" s="86"/>
      <c r="C45" s="109"/>
      <c r="D45" s="110"/>
      <c r="E45" s="132"/>
      <c r="F45" s="132"/>
      <c r="G45" s="111"/>
      <c r="H45" s="91"/>
      <c r="I45" s="20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1:32" ht="15" customHeight="1" x14ac:dyDescent="0.25">
      <c r="A46" s="20"/>
      <c r="B46" s="86"/>
      <c r="C46" s="109"/>
      <c r="D46" s="110"/>
      <c r="E46" s="132"/>
      <c r="F46" s="132"/>
      <c r="G46" s="111"/>
      <c r="H46" s="91"/>
      <c r="I46" s="20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</row>
    <row r="47" spans="1:32" ht="15" customHeight="1" x14ac:dyDescent="0.25">
      <c r="A47" s="20"/>
      <c r="B47" s="86"/>
      <c r="C47" s="109"/>
      <c r="D47" s="110"/>
      <c r="E47" s="132"/>
      <c r="F47" s="132"/>
      <c r="G47" s="111"/>
      <c r="H47" s="91"/>
      <c r="I47" s="20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</row>
    <row r="48" spans="1:32" ht="15" customHeight="1" x14ac:dyDescent="0.25">
      <c r="A48" s="20"/>
      <c r="B48" s="86"/>
      <c r="C48" s="109"/>
      <c r="D48" s="110"/>
      <c r="E48" s="132"/>
      <c r="F48" s="132"/>
      <c r="G48" s="111"/>
      <c r="H48" s="91"/>
      <c r="I48" s="20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</row>
    <row r="49" spans="1:81" ht="15" customHeight="1" x14ac:dyDescent="0.25">
      <c r="A49" s="20"/>
      <c r="B49" s="86"/>
      <c r="C49" s="109"/>
      <c r="D49" s="110"/>
      <c r="E49" s="132"/>
      <c r="F49" s="132"/>
      <c r="G49" s="111"/>
      <c r="H49" s="91"/>
      <c r="I49" s="20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</row>
    <row r="50" spans="1:81" ht="15" customHeight="1" x14ac:dyDescent="0.25">
      <c r="A50" s="20"/>
      <c r="B50" s="86"/>
      <c r="C50" s="109"/>
      <c r="D50" s="110"/>
      <c r="E50" s="132"/>
      <c r="F50" s="132"/>
      <c r="G50" s="111"/>
      <c r="H50" s="91"/>
      <c r="I50" s="20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81" ht="15" customHeight="1" x14ac:dyDescent="0.25">
      <c r="A51" s="20"/>
      <c r="B51" s="86"/>
      <c r="C51" s="109"/>
      <c r="D51" s="110"/>
      <c r="E51" s="132"/>
      <c r="F51" s="132"/>
      <c r="G51" s="111"/>
      <c r="H51" s="91"/>
      <c r="I51" s="20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81" ht="15" customHeight="1" x14ac:dyDescent="0.25">
      <c r="A52" s="20"/>
      <c r="B52" s="86"/>
      <c r="C52" s="109"/>
      <c r="D52" s="110"/>
      <c r="E52" s="132"/>
      <c r="F52" s="132"/>
      <c r="G52" s="111"/>
      <c r="H52" s="91"/>
      <c r="I52" s="20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81" ht="15" customHeight="1" x14ac:dyDescent="0.25">
      <c r="A53" s="20"/>
      <c r="B53" s="86"/>
      <c r="C53" s="109"/>
      <c r="D53" s="110"/>
      <c r="E53" s="132"/>
      <c r="F53" s="132"/>
      <c r="G53" s="111"/>
      <c r="H53" s="91"/>
      <c r="I53" s="20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</row>
    <row r="54" spans="1:81" ht="15" customHeight="1" x14ac:dyDescent="0.25">
      <c r="A54" s="20"/>
      <c r="B54" s="86"/>
      <c r="C54" s="109"/>
      <c r="D54" s="110"/>
      <c r="E54" s="132"/>
      <c r="F54" s="132"/>
      <c r="G54" s="111"/>
      <c r="H54" s="91"/>
      <c r="I54" s="20"/>
      <c r="L54" s="74"/>
      <c r="M54" s="10"/>
    </row>
    <row r="55" spans="1:81" ht="15" customHeight="1" x14ac:dyDescent="0.25">
      <c r="A55" s="20"/>
      <c r="B55" s="86"/>
      <c r="C55" s="109"/>
      <c r="D55" s="110"/>
      <c r="E55" s="132"/>
      <c r="F55" s="132"/>
      <c r="G55" s="111"/>
      <c r="H55" s="91"/>
      <c r="I55" s="20"/>
      <c r="L55" s="74"/>
      <c r="M55" s="10"/>
    </row>
    <row r="56" spans="1:81" ht="15" customHeight="1" x14ac:dyDescent="0.25">
      <c r="A56" s="20"/>
      <c r="B56" s="86"/>
      <c r="C56" s="109"/>
      <c r="D56" s="110"/>
      <c r="E56" s="131"/>
      <c r="F56" s="132"/>
      <c r="G56" s="115"/>
      <c r="H56" s="91"/>
      <c r="I56" s="20"/>
      <c r="J56" s="13"/>
      <c r="K56" s="13"/>
      <c r="L56" s="13"/>
      <c r="M56" s="13"/>
      <c r="N56" s="13"/>
      <c r="O56" s="13"/>
      <c r="P56" s="13"/>
      <c r="Q56" s="13"/>
      <c r="R56" s="13"/>
      <c r="S56" s="13"/>
    </row>
    <row r="57" spans="1:81" ht="15" customHeight="1" x14ac:dyDescent="0.25">
      <c r="A57" s="20"/>
      <c r="B57" s="86"/>
      <c r="C57" s="109"/>
      <c r="D57" s="110"/>
      <c r="E57" s="131"/>
      <c r="F57" s="132"/>
      <c r="G57" s="115"/>
      <c r="H57" s="91"/>
      <c r="I57" s="20"/>
      <c r="J57" s="13"/>
      <c r="K57" s="13"/>
      <c r="L57" s="62"/>
      <c r="M57" s="62"/>
      <c r="N57" s="62"/>
      <c r="O57" s="62"/>
      <c r="P57" s="62"/>
      <c r="Q57" s="62"/>
      <c r="R57" s="62"/>
      <c r="S57" s="62"/>
    </row>
    <row r="58" spans="1:81" ht="15" customHeight="1" x14ac:dyDescent="0.25">
      <c r="A58" s="20"/>
      <c r="B58" s="86"/>
      <c r="C58" s="109"/>
      <c r="D58" s="110"/>
      <c r="E58" s="131"/>
      <c r="F58" s="132"/>
      <c r="G58" s="115"/>
      <c r="H58" s="92"/>
      <c r="I58"/>
      <c r="J58" s="14"/>
      <c r="K58" s="14"/>
      <c r="L58" s="62"/>
      <c r="M58" s="62"/>
      <c r="N58" s="62"/>
      <c r="O58" s="62"/>
      <c r="P58" s="62"/>
      <c r="Q58" s="62"/>
      <c r="R58" s="62"/>
      <c r="S58" s="62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</row>
    <row r="59" spans="1:81" ht="15" customHeight="1" x14ac:dyDescent="0.25">
      <c r="A59" s="20"/>
      <c r="B59" s="86"/>
      <c r="C59" s="109"/>
      <c r="D59" s="110"/>
      <c r="E59" s="132"/>
      <c r="F59" s="132"/>
      <c r="G59" s="115"/>
      <c r="H59" s="92"/>
      <c r="I59"/>
      <c r="J59" s="14"/>
      <c r="K59" s="14"/>
      <c r="L59" s="62"/>
      <c r="M59" s="62"/>
      <c r="N59" s="62"/>
      <c r="O59" s="62"/>
      <c r="P59" s="62"/>
      <c r="Q59" s="62"/>
      <c r="R59" s="62"/>
      <c r="S59" s="62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</row>
    <row r="60" spans="1:81" ht="15" customHeight="1" x14ac:dyDescent="0.25">
      <c r="A60" s="20"/>
      <c r="B60" s="86"/>
      <c r="C60" s="109"/>
      <c r="D60" s="110"/>
      <c r="E60" s="132"/>
      <c r="F60" s="132"/>
      <c r="G60" s="111"/>
      <c r="H60" s="92"/>
      <c r="I60"/>
      <c r="J60" s="14"/>
      <c r="K60" s="14"/>
      <c r="L60" s="62"/>
      <c r="M60" s="62"/>
      <c r="N60" s="62"/>
      <c r="O60" s="62"/>
      <c r="P60" s="62"/>
      <c r="Q60" s="62"/>
      <c r="R60" s="62"/>
      <c r="S60" s="62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</row>
    <row r="61" spans="1:81" ht="15" customHeight="1" x14ac:dyDescent="0.25">
      <c r="A61" s="20"/>
      <c r="B61" s="86"/>
      <c r="C61" s="106"/>
      <c r="D61" s="116"/>
      <c r="E61" s="131"/>
      <c r="F61" s="131"/>
      <c r="G61" s="108"/>
      <c r="H61" s="92"/>
      <c r="I61"/>
      <c r="J61" s="14"/>
      <c r="K61" s="14"/>
      <c r="L61" s="62"/>
      <c r="M61" s="62"/>
      <c r="N61" s="62"/>
      <c r="O61" s="62"/>
      <c r="P61" s="62"/>
      <c r="Q61" s="62"/>
      <c r="R61" s="62"/>
      <c r="S61" s="62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</row>
    <row r="62" spans="1:81" ht="15" customHeight="1" x14ac:dyDescent="0.25">
      <c r="A62" s="20"/>
      <c r="B62" s="86"/>
      <c r="C62" s="106"/>
      <c r="D62" s="107"/>
      <c r="E62" s="131"/>
      <c r="F62" s="131"/>
      <c r="G62" s="108"/>
      <c r="H62" s="92"/>
      <c r="I62"/>
      <c r="J62" s="14"/>
      <c r="K62" s="14"/>
      <c r="L62" s="62"/>
      <c r="M62" s="62"/>
      <c r="N62" s="62"/>
      <c r="O62" s="62"/>
      <c r="P62" s="62"/>
      <c r="Q62" s="62"/>
      <c r="R62" s="62"/>
      <c r="S62" s="62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</row>
    <row r="63" spans="1:81" ht="15" customHeight="1" x14ac:dyDescent="0.25">
      <c r="A63" s="20"/>
      <c r="B63" s="86"/>
      <c r="C63" s="106"/>
      <c r="D63" s="107"/>
      <c r="E63" s="131"/>
      <c r="F63" s="131"/>
      <c r="G63" s="108"/>
      <c r="H63" s="92"/>
      <c r="I63"/>
      <c r="J63" s="14"/>
      <c r="K63" s="14"/>
      <c r="L63" s="62"/>
      <c r="M63" s="62"/>
      <c r="N63" s="62"/>
      <c r="O63" s="62"/>
      <c r="P63" s="62"/>
      <c r="Q63" s="62"/>
      <c r="R63" s="62"/>
      <c r="S63" s="62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</row>
    <row r="64" spans="1:81" ht="15" customHeight="1" x14ac:dyDescent="0.25">
      <c r="A64" s="20"/>
      <c r="B64" s="86"/>
      <c r="C64" s="106"/>
      <c r="D64" s="107"/>
      <c r="E64" s="131"/>
      <c r="F64" s="131"/>
      <c r="G64" s="108"/>
      <c r="H64" s="92"/>
      <c r="I64"/>
      <c r="J64" s="14"/>
      <c r="K64" s="14"/>
      <c r="L64" s="62"/>
      <c r="M64" s="62"/>
      <c r="N64" s="62"/>
      <c r="O64" s="62"/>
      <c r="P64" s="62"/>
      <c r="Q64" s="62"/>
      <c r="R64" s="62"/>
      <c r="S64" s="62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</row>
    <row r="65" spans="1:81" ht="15" customHeight="1" x14ac:dyDescent="0.25">
      <c r="A65" s="20"/>
      <c r="B65" s="86"/>
      <c r="C65" s="106"/>
      <c r="D65" s="107"/>
      <c r="E65" s="131"/>
      <c r="F65" s="131"/>
      <c r="G65" s="108"/>
      <c r="H65" s="92"/>
      <c r="I65"/>
      <c r="J65" s="14"/>
      <c r="K65" s="14"/>
      <c r="L65" s="62"/>
      <c r="M65" s="62"/>
      <c r="N65" s="62"/>
      <c r="O65" s="62"/>
      <c r="P65" s="62"/>
      <c r="Q65" s="62"/>
      <c r="R65" s="62"/>
      <c r="S65" s="62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</row>
    <row r="66" spans="1:81" ht="15" customHeight="1" x14ac:dyDescent="0.25">
      <c r="A66" s="20"/>
      <c r="B66" s="86"/>
      <c r="C66" s="106"/>
      <c r="D66" s="107"/>
      <c r="E66" s="131"/>
      <c r="F66" s="131"/>
      <c r="G66" s="108"/>
      <c r="H66" s="91"/>
      <c r="I66" s="20"/>
      <c r="J66" s="13"/>
      <c r="K66" s="13"/>
      <c r="L66" s="62"/>
      <c r="M66" s="62"/>
      <c r="N66" s="62"/>
      <c r="O66" s="62"/>
      <c r="P66" s="62"/>
      <c r="Q66" s="62"/>
      <c r="R66" s="62"/>
      <c r="S66" s="62"/>
    </row>
    <row r="67" spans="1:81" ht="15" customHeight="1" x14ac:dyDescent="0.25">
      <c r="A67" s="20"/>
      <c r="B67" s="86"/>
      <c r="C67" s="106"/>
      <c r="D67" s="107"/>
      <c r="E67" s="131"/>
      <c r="F67" s="131"/>
      <c r="G67" s="108"/>
      <c r="H67" s="91"/>
      <c r="I67" s="20"/>
      <c r="J67" s="13"/>
      <c r="K67" s="13"/>
      <c r="L67" s="62"/>
      <c r="M67" s="62"/>
      <c r="N67" s="62"/>
      <c r="O67" s="62"/>
      <c r="P67" s="62"/>
      <c r="Q67" s="62"/>
      <c r="R67" s="62"/>
      <c r="S67" s="62"/>
    </row>
    <row r="68" spans="1:81" ht="15" customHeight="1" x14ac:dyDescent="0.25">
      <c r="A68" s="20"/>
      <c r="B68" s="86"/>
      <c r="C68" s="106"/>
      <c r="D68" s="107"/>
      <c r="E68" s="131"/>
      <c r="F68" s="131"/>
      <c r="G68" s="108"/>
      <c r="H68" s="91"/>
      <c r="I68" s="20"/>
      <c r="J68" s="13"/>
      <c r="K68" s="13"/>
      <c r="L68" s="62"/>
      <c r="M68" s="62"/>
      <c r="N68" s="62"/>
      <c r="O68" s="62"/>
      <c r="P68" s="62"/>
      <c r="Q68" s="62"/>
      <c r="R68" s="62"/>
      <c r="S68" s="62"/>
    </row>
    <row r="69" spans="1:81" ht="15" customHeight="1" x14ac:dyDescent="0.25">
      <c r="A69" s="20"/>
      <c r="B69" s="86"/>
      <c r="C69" s="107"/>
      <c r="D69" s="117"/>
      <c r="E69" s="132"/>
      <c r="F69" s="132"/>
      <c r="G69" s="111"/>
      <c r="H69" s="91"/>
      <c r="I69" s="20"/>
      <c r="J69" s="13"/>
      <c r="K69" s="13"/>
      <c r="L69" s="63"/>
      <c r="M69" s="63"/>
      <c r="N69" s="63"/>
      <c r="O69" s="63"/>
      <c r="P69" s="63"/>
      <c r="Q69" s="62"/>
      <c r="R69" s="62"/>
      <c r="S69" s="62"/>
    </row>
    <row r="70" spans="1:81" ht="15" customHeight="1" x14ac:dyDescent="0.25">
      <c r="A70" s="20"/>
      <c r="B70" s="86"/>
      <c r="C70" s="107"/>
      <c r="D70" s="117"/>
      <c r="E70" s="132"/>
      <c r="F70" s="132"/>
      <c r="G70" s="111"/>
      <c r="H70" s="91"/>
      <c r="I70" s="20"/>
      <c r="J70" s="13"/>
      <c r="K70" s="13"/>
      <c r="L70" s="63"/>
      <c r="M70" s="63"/>
      <c r="N70" s="63"/>
      <c r="O70" s="63"/>
      <c r="P70" s="63"/>
      <c r="Q70" s="62"/>
      <c r="R70" s="62"/>
      <c r="S70" s="62"/>
    </row>
    <row r="71" spans="1:81" ht="15" customHeight="1" x14ac:dyDescent="0.25">
      <c r="A71" s="20"/>
      <c r="B71" s="86"/>
      <c r="C71" s="106"/>
      <c r="D71" s="117"/>
      <c r="E71" s="132"/>
      <c r="F71" s="132"/>
      <c r="G71" s="111"/>
      <c r="H71" s="90"/>
      <c r="I71" s="20"/>
      <c r="J71" s="13"/>
      <c r="K71" s="13"/>
      <c r="L71" s="63"/>
      <c r="M71" s="63"/>
      <c r="N71" s="63"/>
      <c r="O71" s="63"/>
      <c r="P71" s="63"/>
      <c r="Q71" s="62"/>
      <c r="R71" s="62"/>
      <c r="S71" s="62"/>
    </row>
    <row r="72" spans="1:81" ht="15" customHeight="1" x14ac:dyDescent="0.25">
      <c r="A72" s="20"/>
      <c r="B72" s="86"/>
      <c r="C72" s="109"/>
      <c r="D72" s="110"/>
      <c r="E72" s="132"/>
      <c r="F72" s="132"/>
      <c r="G72" s="111"/>
      <c r="H72" s="90"/>
      <c r="I72" s="20"/>
      <c r="J72" s="13"/>
      <c r="K72" s="13"/>
      <c r="L72" s="63"/>
      <c r="M72" s="63"/>
      <c r="N72" s="63"/>
      <c r="O72" s="63"/>
      <c r="P72" s="63"/>
      <c r="Q72" s="62"/>
      <c r="R72" s="62"/>
      <c r="S72" s="62"/>
    </row>
    <row r="73" spans="1:81" ht="15" customHeight="1" x14ac:dyDescent="0.25">
      <c r="A73" s="20"/>
      <c r="B73" s="86"/>
      <c r="C73" s="109"/>
      <c r="D73" s="110"/>
      <c r="E73" s="132"/>
      <c r="F73" s="132"/>
      <c r="G73" s="111"/>
      <c r="H73" s="90"/>
      <c r="I73" s="20"/>
      <c r="J73" s="13"/>
      <c r="K73" s="13"/>
      <c r="L73" s="63"/>
      <c r="M73" s="63"/>
      <c r="N73" s="63"/>
      <c r="O73" s="63"/>
      <c r="P73" s="63"/>
      <c r="Q73" s="62"/>
      <c r="R73" s="62"/>
      <c r="S73" s="62"/>
    </row>
    <row r="74" spans="1:81" ht="15" customHeight="1" x14ac:dyDescent="0.25">
      <c r="A74" s="20"/>
      <c r="B74" s="86"/>
      <c r="C74" s="106"/>
      <c r="D74" s="110"/>
      <c r="E74" s="132"/>
      <c r="F74" s="132"/>
      <c r="G74" s="111"/>
      <c r="H74" s="91"/>
      <c r="I74" s="20"/>
      <c r="J74" s="13"/>
      <c r="K74" s="13"/>
      <c r="L74" s="63"/>
      <c r="M74" s="63"/>
      <c r="N74" s="63"/>
      <c r="O74" s="63"/>
      <c r="P74" s="63"/>
      <c r="Q74" s="62"/>
      <c r="R74" s="62"/>
      <c r="S74" s="62"/>
    </row>
    <row r="75" spans="1:81" ht="15" customHeight="1" x14ac:dyDescent="0.25">
      <c r="A75" s="20"/>
      <c r="B75" s="86"/>
      <c r="C75" s="109"/>
      <c r="D75" s="110"/>
      <c r="E75" s="132"/>
      <c r="F75" s="132"/>
      <c r="G75" s="111"/>
      <c r="H75" s="91"/>
      <c r="I75" s="20"/>
      <c r="J75" s="13"/>
      <c r="K75" s="13"/>
      <c r="L75" s="62"/>
      <c r="M75" s="62"/>
      <c r="N75" s="62"/>
      <c r="O75" s="62"/>
      <c r="P75" s="62"/>
      <c r="Q75" s="62"/>
      <c r="R75" s="62"/>
      <c r="S75" s="62"/>
    </row>
    <row r="76" spans="1:81" ht="15" customHeight="1" x14ac:dyDescent="0.25">
      <c r="A76" s="20"/>
      <c r="B76" s="86"/>
      <c r="C76" s="109"/>
      <c r="D76" s="110"/>
      <c r="E76" s="132"/>
      <c r="F76" s="132"/>
      <c r="G76" s="111"/>
      <c r="H76" s="90"/>
      <c r="I76" s="20"/>
      <c r="J76" s="13"/>
      <c r="K76" s="13"/>
      <c r="L76" s="62"/>
      <c r="M76" s="64"/>
      <c r="N76" s="62"/>
      <c r="O76" s="62"/>
      <c r="P76" s="62"/>
      <c r="Q76" s="62"/>
      <c r="R76" s="62"/>
      <c r="S76" s="62"/>
    </row>
    <row r="77" spans="1:81" ht="15" customHeight="1" x14ac:dyDescent="0.25">
      <c r="A77" s="20"/>
      <c r="B77" s="86"/>
      <c r="C77" s="109"/>
      <c r="D77" s="110"/>
      <c r="E77" s="132"/>
      <c r="F77" s="132"/>
      <c r="G77" s="111"/>
      <c r="H77" s="90"/>
      <c r="I77" s="20"/>
      <c r="J77" s="13"/>
      <c r="K77" s="13"/>
      <c r="L77" s="65"/>
      <c r="M77" s="62"/>
      <c r="N77" s="62"/>
      <c r="O77" s="62"/>
      <c r="P77" s="62"/>
      <c r="Q77" s="62"/>
      <c r="R77" s="62"/>
      <c r="S77" s="62"/>
    </row>
    <row r="78" spans="1:81" ht="15" customHeight="1" x14ac:dyDescent="0.25">
      <c r="A78" s="20"/>
      <c r="B78" s="86"/>
      <c r="C78" s="118"/>
      <c r="D78" s="110"/>
      <c r="E78" s="132"/>
      <c r="F78" s="132"/>
      <c r="G78" s="111"/>
      <c r="H78" s="90"/>
      <c r="I78" s="20"/>
      <c r="J78" s="13"/>
      <c r="K78" s="13"/>
      <c r="L78" s="62"/>
      <c r="M78" s="62"/>
      <c r="N78" s="62"/>
      <c r="O78" s="62"/>
      <c r="P78" s="62"/>
      <c r="Q78" s="62"/>
      <c r="R78" s="62"/>
      <c r="S78" s="62"/>
    </row>
    <row r="79" spans="1:81" ht="15" customHeight="1" x14ac:dyDescent="0.25">
      <c r="A79" s="20"/>
      <c r="B79" s="86"/>
      <c r="C79" s="119"/>
      <c r="D79" s="110"/>
      <c r="E79" s="132"/>
      <c r="F79" s="132"/>
      <c r="G79" s="111"/>
      <c r="H79" s="90"/>
      <c r="I79" s="20"/>
      <c r="J79" s="13"/>
      <c r="K79" s="13"/>
      <c r="L79" s="62"/>
      <c r="M79" s="62"/>
      <c r="N79" s="62"/>
      <c r="O79" s="62"/>
      <c r="P79" s="62"/>
      <c r="Q79" s="62"/>
      <c r="R79" s="62"/>
      <c r="S79" s="62"/>
    </row>
    <row r="80" spans="1:81" ht="15" customHeight="1" thickBot="1" x14ac:dyDescent="0.3">
      <c r="A80" s="20"/>
      <c r="B80" s="93"/>
      <c r="C80" s="98"/>
      <c r="D80" s="95"/>
      <c r="E80" s="134"/>
      <c r="F80" s="134"/>
      <c r="G80" s="97"/>
      <c r="H80" s="94"/>
      <c r="I80" s="20"/>
      <c r="J80" s="13"/>
      <c r="K80" s="13"/>
      <c r="L80" s="62"/>
      <c r="M80" s="62"/>
      <c r="N80" s="62"/>
      <c r="O80" s="62"/>
      <c r="P80" s="62"/>
      <c r="Q80" s="62"/>
      <c r="R80" s="62"/>
      <c r="S80" s="62"/>
    </row>
    <row r="81" spans="1:19" ht="15" customHeight="1" thickTop="1" x14ac:dyDescent="0.25">
      <c r="A81" s="20"/>
      <c r="B81" s="20"/>
      <c r="C81" s="20"/>
      <c r="D81" s="20"/>
      <c r="E81" s="28"/>
      <c r="F81" s="31"/>
      <c r="G81" s="31"/>
      <c r="H81" s="20"/>
      <c r="I81" s="20"/>
      <c r="J81" s="13"/>
      <c r="K81" s="13"/>
      <c r="L81" s="62"/>
      <c r="M81" s="62"/>
      <c r="N81" s="62"/>
      <c r="O81" s="62"/>
      <c r="P81" s="62"/>
      <c r="Q81" s="62"/>
      <c r="R81" s="62"/>
      <c r="S81" s="62"/>
    </row>
    <row r="82" spans="1:19" x14ac:dyDescent="0.25">
      <c r="J82" s="13"/>
      <c r="K82" s="13"/>
      <c r="L82" s="62"/>
      <c r="M82" s="62"/>
      <c r="N82" s="62"/>
      <c r="O82" s="62"/>
      <c r="P82" s="62"/>
      <c r="Q82" s="62"/>
      <c r="R82" s="62"/>
      <c r="S82" s="62"/>
    </row>
    <row r="83" spans="1:19" x14ac:dyDescent="0.25">
      <c r="F83" s="3"/>
      <c r="G83" s="3"/>
      <c r="J83" s="13"/>
      <c r="K83" s="13"/>
      <c r="L83" s="62"/>
      <c r="M83" s="62"/>
      <c r="N83" s="62"/>
      <c r="O83" s="62"/>
      <c r="P83" s="62"/>
      <c r="Q83" s="62"/>
      <c r="R83" s="62"/>
      <c r="S83" s="62"/>
    </row>
    <row r="84" spans="1:19" x14ac:dyDescent="0.25">
      <c r="J84" s="13"/>
      <c r="K84" s="13"/>
      <c r="L84" s="13"/>
      <c r="M84" s="13"/>
      <c r="N84" s="13"/>
      <c r="O84" s="13"/>
      <c r="P84" s="13"/>
      <c r="Q84" s="13"/>
      <c r="R84" s="13"/>
      <c r="S84" s="13"/>
    </row>
    <row r="85" spans="1:19" x14ac:dyDescent="0.25">
      <c r="J85" s="13"/>
      <c r="K85" s="13"/>
      <c r="L85" s="13"/>
      <c r="M85" s="13"/>
      <c r="N85" s="13"/>
      <c r="O85" s="13"/>
      <c r="P85" s="13"/>
      <c r="Q85" s="13"/>
      <c r="R85" s="13"/>
      <c r="S85" s="13"/>
    </row>
    <row r="86" spans="1:19" x14ac:dyDescent="0.25">
      <c r="J86" s="13"/>
      <c r="K86" s="13"/>
      <c r="L86" s="13"/>
      <c r="M86" s="13"/>
      <c r="N86" s="13"/>
      <c r="O86" s="13"/>
      <c r="P86" s="13"/>
      <c r="Q86" s="13"/>
      <c r="R86" s="13"/>
      <c r="S86" s="13"/>
    </row>
    <row r="87" spans="1:19" x14ac:dyDescent="0.25"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5" x14ac:dyDescent="0.25">
      <c r="C88" s="66"/>
      <c r="J88" s="13"/>
      <c r="K88" s="13"/>
      <c r="L88" s="13"/>
      <c r="M88" s="13"/>
      <c r="N88" s="13"/>
      <c r="O88" s="13"/>
      <c r="P88" s="13"/>
      <c r="Q88" s="13"/>
      <c r="R88" s="13"/>
      <c r="S88" s="13"/>
    </row>
    <row r="89" spans="1:19" x14ac:dyDescent="0.25"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x14ac:dyDescent="0.25"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x14ac:dyDescent="0.25">
      <c r="J91" s="13"/>
      <c r="K91" s="13"/>
      <c r="L91" s="13"/>
      <c r="M91" s="13"/>
      <c r="N91" s="13"/>
      <c r="O91" s="13"/>
      <c r="P91" s="13"/>
      <c r="Q91" s="13"/>
      <c r="R91" s="13"/>
      <c r="S91" s="13"/>
    </row>
    <row r="92" spans="1:19" x14ac:dyDescent="0.25"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x14ac:dyDescent="0.25"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x14ac:dyDescent="0.25">
      <c r="J94" s="13"/>
      <c r="K94" s="13"/>
      <c r="L94" s="13"/>
      <c r="M94" s="13"/>
      <c r="N94" s="13"/>
      <c r="O94" s="13"/>
      <c r="P94" s="13"/>
      <c r="Q94" s="13"/>
      <c r="R94" s="13"/>
      <c r="S94" s="13"/>
    </row>
    <row r="95" spans="1:19" ht="15" x14ac:dyDescent="0.25">
      <c r="D95" s="4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x14ac:dyDescent="0.25"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0:19" x14ac:dyDescent="0.25">
      <c r="J97" s="13"/>
      <c r="K97" s="13"/>
      <c r="L97" s="13"/>
      <c r="M97" s="13"/>
      <c r="N97" s="13"/>
      <c r="O97" s="13"/>
      <c r="P97" s="13"/>
      <c r="Q97" s="13"/>
      <c r="R97" s="13"/>
      <c r="S97" s="13"/>
    </row>
    <row r="98" spans="10:19" x14ac:dyDescent="0.25"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0:19" x14ac:dyDescent="0.25"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0:19" x14ac:dyDescent="0.25"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0:19" x14ac:dyDescent="0.25"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0:19" x14ac:dyDescent="0.25"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0:19" x14ac:dyDescent="0.25">
      <c r="J103" s="13"/>
      <c r="K103" s="13"/>
      <c r="L103" s="13"/>
      <c r="M103" s="13"/>
      <c r="N103" s="13"/>
      <c r="O103" s="13"/>
      <c r="P103" s="13"/>
      <c r="Q103" s="13"/>
      <c r="R103" s="13"/>
      <c r="S103" s="13"/>
    </row>
    <row r="104" spans="10:19" x14ac:dyDescent="0.25"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0:19" x14ac:dyDescent="0.25"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0:19" x14ac:dyDescent="0.25">
      <c r="J106" s="13"/>
      <c r="K106" s="13"/>
      <c r="L106" s="13"/>
      <c r="M106" s="13"/>
      <c r="N106" s="13"/>
      <c r="O106" s="13"/>
      <c r="P106" s="13"/>
      <c r="Q106" s="13"/>
      <c r="R106" s="13"/>
      <c r="S106" s="13"/>
    </row>
    <row r="107" spans="10:19" x14ac:dyDescent="0.25"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0:19" x14ac:dyDescent="0.25"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0:19" x14ac:dyDescent="0.25">
      <c r="J109" s="13"/>
      <c r="K109" s="13"/>
      <c r="L109" s="13"/>
      <c r="M109" s="13"/>
      <c r="N109" s="13"/>
      <c r="O109" s="13"/>
      <c r="P109" s="13"/>
      <c r="Q109" s="13"/>
      <c r="R109" s="13"/>
      <c r="S109" s="13"/>
    </row>
    <row r="110" spans="10:19" x14ac:dyDescent="0.25"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0:19" x14ac:dyDescent="0.25"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0:19" x14ac:dyDescent="0.25">
      <c r="J112" s="13"/>
      <c r="K112" s="13"/>
      <c r="L112" s="13"/>
      <c r="M112" s="13"/>
      <c r="N112" s="13"/>
      <c r="O112" s="13"/>
      <c r="P112" s="13"/>
      <c r="Q112" s="13"/>
      <c r="R112" s="13"/>
      <c r="S112" s="13"/>
    </row>
    <row r="113" spans="10:19" x14ac:dyDescent="0.25"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0:19" x14ac:dyDescent="0.25"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0:19" x14ac:dyDescent="0.25"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0:19" x14ac:dyDescent="0.25"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0:19" x14ac:dyDescent="0.25"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0:19" x14ac:dyDescent="0.25">
      <c r="J118" s="13"/>
      <c r="K118" s="13"/>
      <c r="L118" s="13"/>
      <c r="M118" s="13"/>
      <c r="N118" s="13"/>
      <c r="O118" s="13"/>
      <c r="P118" s="13"/>
      <c r="Q118" s="13"/>
      <c r="R118" s="13"/>
      <c r="S118" s="13"/>
    </row>
  </sheetData>
  <sheetProtection selectLockedCells="1"/>
  <protectedRanges>
    <protectedRange sqref="L16 L54:L55" name="Lhůta provedení"/>
    <protectedRange sqref="C47:F52" name="Materiál"/>
    <protectedRange sqref="C16:D16" name="StavbaTermín"/>
    <protectedRange sqref="G4" name="Podklad"/>
    <protectedRange sqref="D6:D10" name="Objednatel"/>
    <protectedRange sqref="C78" name="Telefon"/>
    <protectedRange sqref="C57:C58" name="StavebniPripravenost"/>
    <protectedRange sqref="C20:F42 D14:F14" name="Činnost_1"/>
  </protectedRanges>
  <autoFilter ref="C13:G79" xr:uid="{55B46C5D-ADAB-42AE-98A3-057215BA7B09}"/>
  <mergeCells count="10">
    <mergeCell ref="B10:C10"/>
    <mergeCell ref="B8:C8"/>
    <mergeCell ref="B9:C9"/>
    <mergeCell ref="B6:C6"/>
    <mergeCell ref="B7:C7"/>
    <mergeCell ref="B2:D4"/>
    <mergeCell ref="E2:F2"/>
    <mergeCell ref="E3:F3"/>
    <mergeCell ref="E4:G4"/>
    <mergeCell ref="B5:C5"/>
  </mergeCells>
  <printOptions horizontalCentered="1" verticalCentered="1"/>
  <pageMargins left="0.23622047244094491" right="0.23622047244094491" top="0.19685039370078741" bottom="0.19685039370078741" header="0.31496062992125984" footer="0.31496062992125984"/>
  <pageSetup paperSize="9" scale="12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871-ECCE-43CB-AA74-FA4270BA249F}">
  <sheetPr codeName="Sheet4">
    <tabColor theme="8" tint="0.39997558519241921"/>
  </sheetPr>
  <dimension ref="A1:K5"/>
  <sheetViews>
    <sheetView workbookViewId="0">
      <selection activeCell="J4" sqref="J4"/>
    </sheetView>
  </sheetViews>
  <sheetFormatPr defaultRowHeight="15" x14ac:dyDescent="0.25"/>
  <cols>
    <col min="1" max="1" width="18.7109375" bestFit="1" customWidth="1"/>
    <col min="2" max="2" width="23" bestFit="1" customWidth="1"/>
    <col min="3" max="3" width="32.85546875" bestFit="1" customWidth="1"/>
    <col min="4" max="4" width="6.42578125" bestFit="1" customWidth="1"/>
    <col min="5" max="5" width="15.5703125" bestFit="1" customWidth="1"/>
    <col min="6" max="6" width="15.42578125" bestFit="1" customWidth="1"/>
    <col min="7" max="7" width="31.7109375" bestFit="1" customWidth="1"/>
    <col min="8" max="8" width="24.85546875" bestFit="1" customWidth="1"/>
    <col min="9" max="9" width="9" bestFit="1" customWidth="1"/>
    <col min="10" max="10" width="34.28515625" bestFit="1" customWidth="1"/>
    <col min="11" max="11" width="40.85546875" customWidth="1"/>
  </cols>
  <sheetData>
    <row r="1" spans="1:11" x14ac:dyDescent="0.25">
      <c r="A1" s="53" t="s">
        <v>62</v>
      </c>
      <c r="B1" s="53" t="s">
        <v>63</v>
      </c>
      <c r="C1" s="53" t="s">
        <v>64</v>
      </c>
      <c r="D1" s="53" t="s">
        <v>73</v>
      </c>
      <c r="E1" s="53" t="s">
        <v>65</v>
      </c>
      <c r="F1" s="53" t="s">
        <v>66</v>
      </c>
      <c r="G1" s="53" t="s">
        <v>67</v>
      </c>
      <c r="H1" s="53" t="s">
        <v>68</v>
      </c>
      <c r="I1" s="53" t="s">
        <v>69</v>
      </c>
      <c r="J1" s="53" t="s">
        <v>88</v>
      </c>
      <c r="K1" s="53" t="s">
        <v>91</v>
      </c>
    </row>
    <row r="2" spans="1:11" x14ac:dyDescent="0.25">
      <c r="A2" t="s">
        <v>70</v>
      </c>
      <c r="B2" t="s">
        <v>95</v>
      </c>
      <c r="C2" t="s">
        <v>71</v>
      </c>
      <c r="D2" t="s">
        <v>79</v>
      </c>
      <c r="E2" t="s">
        <v>72</v>
      </c>
      <c r="F2" s="157" t="str">
        <f>"+420 725 960 560"</f>
        <v>+420 725 960 560</v>
      </c>
      <c r="G2" t="s">
        <v>96</v>
      </c>
      <c r="H2" t="s">
        <v>74</v>
      </c>
      <c r="I2">
        <v>61858757</v>
      </c>
      <c r="J2" t="s">
        <v>100</v>
      </c>
      <c r="K2" t="s">
        <v>104</v>
      </c>
    </row>
    <row r="3" spans="1:11" x14ac:dyDescent="0.25">
      <c r="A3" t="s">
        <v>83</v>
      </c>
      <c r="B3" t="s">
        <v>84</v>
      </c>
      <c r="C3" t="s">
        <v>87</v>
      </c>
      <c r="D3" t="s">
        <v>78</v>
      </c>
      <c r="E3" t="s">
        <v>72</v>
      </c>
      <c r="F3" s="157" t="str">
        <f>"+420 723 729 104"</f>
        <v>+420 723 729 104</v>
      </c>
      <c r="G3" t="s">
        <v>85</v>
      </c>
      <c r="H3" t="s">
        <v>86</v>
      </c>
      <c r="I3">
        <v>41820606</v>
      </c>
      <c r="J3" t="s">
        <v>157</v>
      </c>
      <c r="K3" t="s">
        <v>92</v>
      </c>
    </row>
    <row r="4" spans="1:11" x14ac:dyDescent="0.25">
      <c r="A4" t="s">
        <v>176</v>
      </c>
      <c r="B4" t="s">
        <v>177</v>
      </c>
      <c r="C4" t="s">
        <v>178</v>
      </c>
      <c r="D4" t="s">
        <v>179</v>
      </c>
      <c r="E4" t="s">
        <v>72</v>
      </c>
      <c r="F4" s="157" t="str">
        <f>"+420 725 960 560"</f>
        <v>+420 725 960 560</v>
      </c>
      <c r="G4" t="s">
        <v>180</v>
      </c>
      <c r="H4" t="s">
        <v>181</v>
      </c>
      <c r="I4">
        <v>69833150</v>
      </c>
      <c r="J4" t="s">
        <v>176</v>
      </c>
      <c r="K4" t="s">
        <v>55</v>
      </c>
    </row>
    <row r="5" spans="1:11" x14ac:dyDescent="0.25">
      <c r="A5" t="s">
        <v>75</v>
      </c>
      <c r="B5" t="s">
        <v>76</v>
      </c>
      <c r="C5" t="s">
        <v>77</v>
      </c>
      <c r="D5" t="s">
        <v>78</v>
      </c>
      <c r="E5" t="s">
        <v>72</v>
      </c>
      <c r="F5" s="157" t="str">
        <f>"+420 775 111 997"</f>
        <v>+420 775 111 997</v>
      </c>
      <c r="G5" t="s">
        <v>80</v>
      </c>
      <c r="H5" t="s">
        <v>82</v>
      </c>
      <c r="I5">
        <v>71198407</v>
      </c>
      <c r="J5" t="s">
        <v>89</v>
      </c>
      <c r="K5" t="s">
        <v>92</v>
      </c>
    </row>
  </sheetData>
  <dataValidations count="1">
    <dataValidation type="list" allowBlank="1" showInputMessage="1" showErrorMessage="1" sqref="K17" xr:uid="{621DD91D-C0FF-43A2-8C63-526312C2BCFE}">
      <formula1>$A$2:$A$51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C085-A27F-4DFD-883E-BB29F5A095A2}">
  <sheetPr codeName="Sheet8">
    <tabColor theme="8" tint="-0.249977111117893"/>
  </sheetPr>
  <dimension ref="A1:E33"/>
  <sheetViews>
    <sheetView workbookViewId="0">
      <selection activeCell="B5" sqref="B5"/>
    </sheetView>
  </sheetViews>
  <sheetFormatPr defaultRowHeight="15" x14ac:dyDescent="0.25"/>
  <cols>
    <col min="1" max="1" width="19" bestFit="1" customWidth="1"/>
    <col min="2" max="2" width="57.140625" customWidth="1"/>
    <col min="4" max="4" width="16.140625" bestFit="1" customWidth="1"/>
    <col min="5" max="5" width="16.7109375" customWidth="1"/>
  </cols>
  <sheetData>
    <row r="1" spans="1:5" x14ac:dyDescent="0.25">
      <c r="A1" t="s">
        <v>105</v>
      </c>
      <c r="B1" t="s">
        <v>106</v>
      </c>
      <c r="D1" t="s">
        <v>169</v>
      </c>
      <c r="E1" t="s">
        <v>170</v>
      </c>
    </row>
    <row r="2" spans="1:5" x14ac:dyDescent="0.25">
      <c r="A2" s="160" t="s">
        <v>107</v>
      </c>
      <c r="B2" s="222" t="str">
        <f>Nabídka!Q13</f>
        <v>CZ5655000000001028895568</v>
      </c>
      <c r="D2" t="s">
        <v>168</v>
      </c>
      <c r="E2" t="s">
        <v>153</v>
      </c>
    </row>
    <row r="3" spans="1:5" x14ac:dyDescent="0.25">
      <c r="A3" s="160" t="s">
        <v>108</v>
      </c>
      <c r="B3" s="222" t="str" cm="1">
        <f t="array" aca="1" ref="B3" ca="1">_xlfn.LET(
  _xlpm.sel, TRIM(_xlfn.XLOOKUP("TargetSheet", QR_Config!$A:$A, QR_Config!$B:$B, "")),
  IF(_xlpm.sel="", "",
    _xlfn.LET(
      _xlpm.nb, IF(_xlpm.sel="Nabídka",
             IFERROR(
               _xlfn.XLOOKUP(
                 1,
                 (ISNUMBER(SEARCH("Záloha", SUBSTITUTE(INDIRECT("'"&amp;_xlpm.sel&amp;"'!F57:F58"), CHAR(160), " "))))*
                 (ISNUMBER(SEARCH("%",      SUBSTITUTE(INDIRECT("'"&amp;_xlpm.sel&amp;"'!F57:F58"), CHAR(160), " ")))),
                 INDIRECT("'"&amp;_xlpm.sel&amp;"'!G57:G58"),
                 ""
               ),
             ""),
             ""
          ),
      _xlpm.r,  INDIRECT("'"&amp;_xlpm.sel&amp;"'!A1:AC300"),
      _xlpm.rt, SUBSTITUTE(_xlpm.r, CHAR(160), " "),
      _xlpm.m,  ISNUMBER(SEARCH("Celkem s DPH", _xlpm.rt)),
      _xlpm.rAbs, ROW(_xlpm.r),  _xlpm.cAbs, COLUMN(_xlpm.r),
      _xlpm.riAbs, IFERROR(MIN(IF(_xlpm.m, _xlpm.rAbs)), 0),
      _xlpm.ciAbs, IFERROR(MIN(IF(_xlpm.m, _xlpm.cAbs)), 0),
      _xlpm.ri, IF(_xlpm.riAbs=0, 0, _xlpm.riAbs - MIN(_xlpm.rAbs) + 1),
      _xlpm.ci, IF(_xlpm.ciAbs=0, 0, _xlpm.ciAbs - MIN(_xlpm.cAbs) + 1),
      _xlpm.fak, IF(_xlpm.ri*_xlpm.ci=0, "", INDEX(_xlpm.r, _xlpm.ri, _xlpm.ci+1)),
      _xlpm.base, IF(_xlpm.nb&lt;&gt;"", _xlpm.nb, _xlpm.fak),
      _xlpm.cleaned, SUBSTITUTE(SUBSTITUTE(SUBSTITUTE(_xlpm.base&amp;"", "Kč", ""), " ", ""), CHAR(160), ""),
      IF(_xlpm.cleaned="", "", TEXT(ROUNDUP(VALUE(_xlpm.cleaned), 0), "0"))
    )
  )
)</f>
        <v>120538</v>
      </c>
      <c r="D3" t="s">
        <v>150</v>
      </c>
      <c r="E3" t="s">
        <v>171</v>
      </c>
    </row>
    <row r="4" spans="1:5" x14ac:dyDescent="0.25">
      <c r="A4" s="160" t="s">
        <v>109</v>
      </c>
      <c r="B4" s="222" t="s">
        <v>110</v>
      </c>
    </row>
    <row r="5" spans="1:5" x14ac:dyDescent="0.25">
      <c r="A5" s="160" t="s">
        <v>111</v>
      </c>
      <c r="B5" s="222" t="str">
        <f>Nabídka!L5</f>
        <v>Biz Data a.s.</v>
      </c>
    </row>
    <row r="6" spans="1:5" x14ac:dyDescent="0.25">
      <c r="A6" s="160" t="s">
        <v>112</v>
      </c>
      <c r="B6" s="233" t="s">
        <v>173</v>
      </c>
    </row>
    <row r="7" spans="1:5" x14ac:dyDescent="0.25">
      <c r="A7" s="160" t="s">
        <v>113</v>
      </c>
      <c r="B7" s="222" t="s">
        <v>143</v>
      </c>
    </row>
    <row r="8" spans="1:5" x14ac:dyDescent="0.25">
      <c r="A8" s="160" t="s">
        <v>114</v>
      </c>
      <c r="B8" s="222" t="s">
        <v>141</v>
      </c>
    </row>
    <row r="9" spans="1:5" x14ac:dyDescent="0.25">
      <c r="A9" s="160" t="s">
        <v>115</v>
      </c>
      <c r="B9" s="222" t="s">
        <v>142</v>
      </c>
    </row>
    <row r="10" spans="1:5" x14ac:dyDescent="0.25">
      <c r="A10" s="160" t="s">
        <v>116</v>
      </c>
      <c r="B10" s="222" t="s">
        <v>117</v>
      </c>
    </row>
    <row r="11" spans="1:5" x14ac:dyDescent="0.25">
      <c r="A11" s="160" t="s">
        <v>118</v>
      </c>
      <c r="B11" s="222" t="s">
        <v>136</v>
      </c>
    </row>
    <row r="12" spans="1:5" x14ac:dyDescent="0.25">
      <c r="A12" s="160" t="s">
        <v>119</v>
      </c>
      <c r="B12" s="222" t="s">
        <v>136</v>
      </c>
    </row>
    <row r="13" spans="1:5" x14ac:dyDescent="0.25">
      <c r="A13" s="160" t="s">
        <v>120</v>
      </c>
      <c r="B13" s="222" t="s">
        <v>136</v>
      </c>
    </row>
    <row r="14" spans="1:5" x14ac:dyDescent="0.25">
      <c r="A14" s="160" t="s">
        <v>121</v>
      </c>
      <c r="B14" s="222" t="s">
        <v>136</v>
      </c>
    </row>
    <row r="15" spans="1:5" x14ac:dyDescent="0.25">
      <c r="A15" s="160" t="s">
        <v>122</v>
      </c>
      <c r="B15" s="222" t="b">
        <v>0</v>
      </c>
    </row>
    <row r="16" spans="1:5" x14ac:dyDescent="0.25">
      <c r="A16" s="160" t="s">
        <v>123</v>
      </c>
      <c r="B16" s="222" t="s">
        <v>124</v>
      </c>
      <c r="E16" s="231"/>
    </row>
    <row r="17" spans="1:4" x14ac:dyDescent="0.25">
      <c r="A17" s="160" t="s">
        <v>125</v>
      </c>
      <c r="B17" s="222" t="s">
        <v>126</v>
      </c>
      <c r="D17" s="232"/>
    </row>
    <row r="18" spans="1:4" x14ac:dyDescent="0.25">
      <c r="A18" s="160" t="s">
        <v>127</v>
      </c>
      <c r="B18" s="222">
        <v>1200</v>
      </c>
    </row>
    <row r="19" spans="1:4" x14ac:dyDescent="0.25">
      <c r="A19" s="160" t="s">
        <v>128</v>
      </c>
      <c r="B19" s="222" t="s">
        <v>129</v>
      </c>
    </row>
    <row r="20" spans="1:4" x14ac:dyDescent="0.25">
      <c r="A20" s="160" t="s">
        <v>130</v>
      </c>
      <c r="B20" s="222" t="s">
        <v>131</v>
      </c>
    </row>
    <row r="21" spans="1:4" x14ac:dyDescent="0.25">
      <c r="A21" s="160" t="s">
        <v>132</v>
      </c>
      <c r="B21" s="222" t="s">
        <v>150</v>
      </c>
    </row>
    <row r="22" spans="1:4" x14ac:dyDescent="0.25">
      <c r="A22" s="160" t="s">
        <v>133</v>
      </c>
      <c r="B22" s="223" t="str">
        <f>_xlfn.XLOOKUP((_xlfn.XLOOKUP("TargetSheet",QRKonfigurace[Key],QRKonfigurace[Value],"Nenalezeno na listu QR_Config",0,1)),QRBunky[List],QRBunky[Buňka pro Qrko],"Nenalezeno v tabulce QRBunky",0,1)</f>
        <v>E63</v>
      </c>
    </row>
    <row r="23" spans="1:4" x14ac:dyDescent="0.25">
      <c r="A23" s="160" t="s">
        <v>134</v>
      </c>
      <c r="B23" s="222" t="s">
        <v>135</v>
      </c>
    </row>
    <row r="24" spans="1:4" x14ac:dyDescent="0.25">
      <c r="A24" s="160" t="s">
        <v>137</v>
      </c>
      <c r="B24" s="222" t="s">
        <v>139</v>
      </c>
    </row>
    <row r="25" spans="1:4" x14ac:dyDescent="0.25">
      <c r="A25" s="160" t="s">
        <v>138</v>
      </c>
      <c r="B25" s="222" t="b">
        <v>0</v>
      </c>
    </row>
    <row r="26" spans="1:4" ht="180" customHeight="1" x14ac:dyDescent="0.25">
      <c r="A26" s="160" t="s">
        <v>140</v>
      </c>
      <c r="B26" s="224" t="s">
        <v>174</v>
      </c>
    </row>
    <row r="27" spans="1:4" x14ac:dyDescent="0.25">
      <c r="A27" s="160" t="s">
        <v>144</v>
      </c>
      <c r="B27" s="222" t="s">
        <v>148</v>
      </c>
    </row>
    <row r="28" spans="1:4" x14ac:dyDescent="0.25">
      <c r="A28" s="160" t="s">
        <v>145</v>
      </c>
      <c r="B28" s="222" t="s">
        <v>149</v>
      </c>
    </row>
    <row r="29" spans="1:4" x14ac:dyDescent="0.25">
      <c r="A29" s="160" t="s">
        <v>146</v>
      </c>
      <c r="B29" s="222" t="s">
        <v>147</v>
      </c>
    </row>
    <row r="30" spans="1:4" x14ac:dyDescent="0.25">
      <c r="A30" s="160" t="s">
        <v>151</v>
      </c>
      <c r="B30" s="222">
        <v>250</v>
      </c>
    </row>
    <row r="31" spans="1:4" x14ac:dyDescent="0.25">
      <c r="A31" s="160" t="s">
        <v>152</v>
      </c>
      <c r="B31" s="222">
        <v>1.1000000000000001</v>
      </c>
    </row>
    <row r="32" spans="1:4" x14ac:dyDescent="0.25">
      <c r="A32" s="160" t="s">
        <v>154</v>
      </c>
      <c r="B32" s="222">
        <v>100</v>
      </c>
    </row>
    <row r="33" spans="1:2" x14ac:dyDescent="0.25">
      <c r="A33" s="160" t="s">
        <v>155</v>
      </c>
      <c r="B33" s="222">
        <v>0</v>
      </c>
    </row>
  </sheetData>
  <dataValidations count="1">
    <dataValidation type="list" allowBlank="1" showInputMessage="1" showErrorMessage="1" sqref="B21" xr:uid="{8E32165E-1E35-4519-97EB-8249A0E07D9C}">
      <formula1>"Nabídka,Zálohová Faktura"</formula1>
    </dataValidation>
  </dataValidation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F41EE2-ED98-43C7-9E66-F4B6E95B92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7366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Nabídka</vt:lpstr>
      <vt:lpstr>Zálohová Faktura</vt:lpstr>
      <vt:lpstr>Faktura</vt:lpstr>
      <vt:lpstr>Vystavené</vt:lpstr>
      <vt:lpstr>Klienti</vt:lpstr>
      <vt:lpstr>QR_Config</vt:lpstr>
      <vt:lpstr>Firmy</vt:lpstr>
      <vt:lpstr>Nabídka!Print_Area</vt:lpstr>
      <vt:lpstr>'Zálohová Faktura'!Print_Area</vt:lpstr>
    </vt:vector>
  </TitlesOfParts>
  <Company>Michal Kopl, Kopl Pro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Cenová nabídka 20250817</dc:title>
  <dc:subject>BIZ-DATA-as | Michal-Kopl</dc:subject>
  <dc:creator>Michal Kopl</dc:creator>
  <cp:lastModifiedBy>Michal Kopl</cp:lastModifiedBy>
  <cp:revision>209</cp:revision>
  <cp:lastPrinted>2025-08-17T16:15:19Z</cp:lastPrinted>
  <dcterms:created xsi:type="dcterms:W3CDTF">2010-08-10T11:35:37Z</dcterms:created>
  <dcterms:modified xsi:type="dcterms:W3CDTF">2025-08-17T16:26:20Z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fd63885a-8dcc-487f-9af7-0fdad8ff2e1a</vt:lpwstr>
  </property>
  <property fmtid="{D5CDD505-2E9C-101B-9397-08002B2CF9AE}" pid="3" name="ConnectionInfosStorage">
    <vt:lpwstr>WorkbookXmlParts</vt:lpwstr>
  </property>
</Properties>
</file>